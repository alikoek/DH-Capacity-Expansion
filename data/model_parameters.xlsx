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hidePivotFieldList="1"/>
  <mc:AlternateContent xmlns:mc="http://schemas.openxmlformats.org/markup-compatibility/2006">
    <mc:Choice Requires="x15">
      <x15ac:absPath xmlns:x15ac="http://schemas.microsoft.com/office/spreadsheetml/2010/11/ac" url="/Users/jonathanhachez/Documents/ongoing - DHN_expansion/data/"/>
    </mc:Choice>
  </mc:AlternateContent>
  <xr:revisionPtr revIDLastSave="0" documentId="13_ncr:1_{DD985E33-6DEC-3847-B90A-E26701D7D4B3}" xr6:coauthVersionLast="47" xr6:coauthVersionMax="47" xr10:uidLastSave="{00000000-0000-0000-0000-000000000000}"/>
  <bookViews>
    <workbookView xWindow="0" yWindow="760" windowWidth="30240" windowHeight="17860" firstSheet="3" activeTab="3" xr2:uid="{00000000-000D-0000-FFFF-FFFF00000000}"/>
  </bookViews>
  <sheets>
    <sheet name="Description" sheetId="18" r:id="rId1"/>
    <sheet name="ModelConfig" sheetId="1" r:id="rId2"/>
    <sheet name="ListPeriods" sheetId="11" r:id="rId3"/>
    <sheet name="ListTemperatureScenarios" sheetId="15" r:id="rId4"/>
    <sheet name="ListPriceScenarios" sheetId="12" r:id="rId5"/>
    <sheet name="ListPolicyScenarios" sheetId="13" r:id="rId6"/>
    <sheet name="ListCarriers" sheetId="14" r:id="rId7"/>
    <sheet name="Technologies" sheetId="2" r:id="rId8"/>
    <sheet name="Storage" sheetId="3" r:id="rId9"/>
    <sheet name="EmissionFactors" sheetId="4" r:id="rId10"/>
    <sheet name="EmissionFactorElectricity" sheetId="10" r:id="rId11"/>
    <sheet name="TemperatureEfficiency" sheetId="16" r:id="rId12"/>
    <sheet name="ExistingCapacity" sheetId="20" r:id="rId13"/>
    <sheet name="EnergyPriceMap" sheetId="5" r:id="rId14"/>
    <sheet name="CarbonTrajectories" sheetId="7" r:id="rId15"/>
    <sheet name="RessourcesLimitations" sheetId="19" r:id="rId16"/>
    <sheet name="PriceTransitions" sheetId="6" r:id="rId17"/>
    <sheet name="CarbonProbabilities" sheetId="8" r:id="rId18"/>
    <sheet name="TemperatureProbabilities" sheetId="17" r:id="rId19"/>
    <sheet name="DemandUncertainty" sheetId="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7" i="16" l="1"/>
  <c r="B37" i="16"/>
  <c r="B96" i="16"/>
  <c r="B36" i="16"/>
  <c r="B95" i="16"/>
  <c r="B35" i="16"/>
  <c r="B94" i="16"/>
  <c r="B34" i="16"/>
  <c r="B93" i="16"/>
  <c r="B33" i="16"/>
  <c r="B92" i="16"/>
  <c r="B32" i="16"/>
  <c r="A4" i="9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tc={6726280B-D021-F648-BE2E-BD0FEF7ADB05}</author>
  </authors>
  <commentList>
    <comment ref="D2" authorId="0" shapeId="0" xr:uid="{6726280B-D021-F648-BE2E-BD0FEF7ADB05}">
      <text>
        <t>[Threaded comment]
Your version of Excel allows you to read this threaded comment; however, any edits to it will get removed if the file is opened in a newer version of Excel. Learn more: https://go.microsoft.com/fwlink/?linkid=870924
Comment:
    EUR values converted to SEK by multiplying by 10,92</t>
      </text>
    </comment>
  </commentList>
</comments>
</file>

<file path=xl/sharedStrings.xml><?xml version="1.0" encoding="utf-8"?>
<sst xmlns="http://schemas.openxmlformats.org/spreadsheetml/2006/main" count="902" uniqueCount="148">
  <si>
    <t>multiplier</t>
  </si>
  <si>
    <t>probability</t>
  </si>
  <si>
    <t>description</t>
  </si>
  <si>
    <t>High demand</t>
  </si>
  <si>
    <t>Normal demand</t>
  </si>
  <si>
    <t>Low demand</t>
  </si>
  <si>
    <t>scenario</t>
  </si>
  <si>
    <t>Current policy</t>
  </si>
  <si>
    <t>Net-zero path</t>
  </si>
  <si>
    <t>Delayed action</t>
  </si>
  <si>
    <t>carrier</t>
  </si>
  <si>
    <t>elec</t>
  </si>
  <si>
    <t>parameter</t>
  </si>
  <si>
    <t>value</t>
  </si>
  <si>
    <t>loss_rate</t>
  </si>
  <si>
    <t>max_charge_rate</t>
  </si>
  <si>
    <t>max_discharge_rate</t>
  </si>
  <si>
    <t>technology</t>
  </si>
  <si>
    <t>efficiency_th</t>
  </si>
  <si>
    <t>efficiency_el</t>
  </si>
  <si>
    <t>energy_carrier</t>
  </si>
  <si>
    <t>lifetime_new</t>
  </si>
  <si>
    <t>lifetime_initial</t>
  </si>
  <si>
    <t>T</t>
  </si>
  <si>
    <t>T_years</t>
  </si>
  <si>
    <t>discount_rate</t>
  </si>
  <si>
    <t>base_annual_demand</t>
  </si>
  <si>
    <t>salvage_fraction</t>
  </si>
  <si>
    <t>c_penalty</t>
  </si>
  <si>
    <t>elec_taxes_levies</t>
  </si>
  <si>
    <t>unit</t>
  </si>
  <si>
    <t>SEK/MWh</t>
  </si>
  <si>
    <t>Waste_CHP</t>
  </si>
  <si>
    <t>BioOil_Boiler</t>
  </si>
  <si>
    <t>waste</t>
  </si>
  <si>
    <t>bio_oil</t>
  </si>
  <si>
    <t>initial_capacity[MW_th]</t>
  </si>
  <si>
    <t>max_additional_capacity[MW_th]</t>
  </si>
  <si>
    <t>investment_cost[MSEK/MW_th]</t>
  </si>
  <si>
    <t>fixed_om[MSEK/MW_th]</t>
  </si>
  <si>
    <t>variable_om[SEK/MWh_th]</t>
  </si>
  <si>
    <t>year</t>
  </si>
  <si>
    <t>years</t>
  </si>
  <si>
    <t>representative model years</t>
  </si>
  <si>
    <t>MWh_th</t>
  </si>
  <si>
    <t>SeaWater_HeatPump</t>
  </si>
  <si>
    <t>BioOil_CHP</t>
  </si>
  <si>
    <t>Electric_Boiler</t>
  </si>
  <si>
    <t>BioPellet_CHP</t>
  </si>
  <si>
    <t>WoodChip_CHP</t>
  </si>
  <si>
    <t>WasteWater_HeatPump</t>
  </si>
  <si>
    <t>LowTempSources_HeatPump</t>
  </si>
  <si>
    <t>wood_chips</t>
  </si>
  <si>
    <t>DataCenter_HeatPump</t>
  </si>
  <si>
    <t>bio_waste</t>
  </si>
  <si>
    <t>Pit</t>
  </si>
  <si>
    <t>period</t>
  </si>
  <si>
    <t>price</t>
  </si>
  <si>
    <t>low</t>
  </si>
  <si>
    <t>high</t>
  </si>
  <si>
    <t>weak</t>
  </si>
  <si>
    <t>usual</t>
  </si>
  <si>
    <t>strong</t>
  </si>
  <si>
    <t>storage</t>
  </si>
  <si>
    <t>policy</t>
  </si>
  <si>
    <t>emission_factor</t>
  </si>
  <si>
    <t>tCO2/MWh</t>
  </si>
  <si>
    <t>CO2tax</t>
  </si>
  <si>
    <t>SEK/tCO2</t>
  </si>
  <si>
    <t>mid</t>
  </si>
  <si>
    <t>full_name</t>
  </si>
  <si>
    <t>Heat pump - seawater</t>
  </si>
  <si>
    <t>Boiler - electricty</t>
  </si>
  <si>
    <t>CHP - waste</t>
  </si>
  <si>
    <t>CHP - pellets</t>
  </si>
  <si>
    <t>CHP - wood chips</t>
  </si>
  <si>
    <t>Boiler - biodiesel</t>
  </si>
  <si>
    <t>CHP - biodiesel</t>
  </si>
  <si>
    <t>Heat pump - datacenter</t>
  </si>
  <si>
    <t>Heat pump - waste water</t>
  </si>
  <si>
    <t>Heat pump - low temperature source</t>
  </si>
  <si>
    <t>max_capacity[MW_th]</t>
  </si>
  <si>
    <t>initial_capacity[MW_th]2</t>
  </si>
  <si>
    <t>highT</t>
  </si>
  <si>
    <t>lowT</t>
  </si>
  <si>
    <t>High temperature (80/60)</t>
  </si>
  <si>
    <t>Low temperature (60/40)</t>
  </si>
  <si>
    <t>Column1</t>
  </si>
  <si>
    <t>Column2</t>
  </si>
  <si>
    <t>temperature</t>
  </si>
  <si>
    <t>efficiency</t>
  </si>
  <si>
    <t>Sheet name</t>
  </si>
  <si>
    <t>Short Description</t>
  </si>
  <si>
    <t>Long Description</t>
  </si>
  <si>
    <t>ModelConfig</t>
  </si>
  <si>
    <t>ListPeriods</t>
  </si>
  <si>
    <t>ListTemperatureScenarios</t>
  </si>
  <si>
    <t>ListPriceScenarios</t>
  </si>
  <si>
    <t>ListPolicyScenarios</t>
  </si>
  <si>
    <t>ListCarriers</t>
  </si>
  <si>
    <t>Technologies</t>
  </si>
  <si>
    <t>Storage</t>
  </si>
  <si>
    <t>EmissionFactors</t>
  </si>
  <si>
    <t>EmissionFactorElectricity</t>
  </si>
  <si>
    <t>TemperatureEfficiency</t>
  </si>
  <si>
    <t>EnergyPriceMap</t>
  </si>
  <si>
    <t>CarbonTrajectory</t>
  </si>
  <si>
    <t>PriceTransitions</t>
  </si>
  <si>
    <t>CarbonProbabilities</t>
  </si>
  <si>
    <t>TemperatureProbabilities</t>
  </si>
  <si>
    <t>DemandUncertainty</t>
  </si>
  <si>
    <t>Gives some generic parameters</t>
  </si>
  <si>
    <t>Gives the list of periods to use in the data</t>
  </si>
  <si>
    <t>Gives the list of temperature scenarios used</t>
  </si>
  <si>
    <t>Gives the list of price scenarios to use</t>
  </si>
  <si>
    <t>Gives the list of policy scenarios to use</t>
  </si>
  <si>
    <t>Gives the list of carriers usable by the system</t>
  </si>
  <si>
    <t>List of available technologies and their characteristics</t>
  </si>
  <si>
    <t>List of available storages and their characteristics</t>
  </si>
  <si>
    <t>List of emission factors per carrier (exc. Electricity)</t>
  </si>
  <si>
    <t>Projected emission factor for electricity</t>
  </si>
  <si>
    <t>Efficiency of the technologies depending on the network temperature</t>
  </si>
  <si>
    <t>Evolution of the carrier price throughout the year (exc electricity)</t>
  </si>
  <si>
    <t>Transition probabilities for carrier prices</t>
  </si>
  <si>
    <t>Transition probabilities for carbon</t>
  </si>
  <si>
    <t>Evolution of carbon prices (exc electricity)</t>
  </si>
  <si>
    <t>Transition probabilities for temperature</t>
  </si>
  <si>
    <t>Demand variation probabilities</t>
  </si>
  <si>
    <t>Column3</t>
  </si>
  <si>
    <t>consider</t>
  </si>
  <si>
    <t>temp</t>
  </si>
  <si>
    <t>limitation</t>
  </si>
  <si>
    <t>Half-way</t>
  </si>
  <si>
    <t>Nuclear-based mix</t>
  </si>
  <si>
    <t>Renewables mix</t>
  </si>
  <si>
    <t>Ambitious climate scenario</t>
  </si>
  <si>
    <t>Business as usual</t>
  </si>
  <si>
    <t>Fossil-fuel devlopment</t>
  </si>
  <si>
    <t>MWh</t>
  </si>
  <si>
    <t>COP calculation based on https://www.sciencedirect.com/science/article/pii/S0196890424009245</t>
  </si>
  <si>
    <t>30 for datacenter</t>
  </si>
  <si>
    <t>10 for seawater</t>
  </si>
  <si>
    <t>18 for wastewater</t>
  </si>
  <si>
    <t>5 for LowTempSources_HeatPump</t>
  </si>
  <si>
    <t>capacity</t>
  </si>
  <si>
    <t>lives</t>
  </si>
  <si>
    <t>retirement</t>
  </si>
  <si>
    <t>avgT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</si>
</sst>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2" fillId="0" borderId="1"/>
  </cellStyleXfs>
  <cellXfs count="55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2" fillId="0" borderId="1" xfId="1" applyAlignment="1">
      <alignment horizontal="center" vertical="center"/>
    </xf>
    <xf numFmtId="0" fontId="2" fillId="0" borderId="1" xfId="1"/>
    <xf numFmtId="0" fontId="3" fillId="0" borderId="1" xfId="1" applyFont="1" applyAlignment="1">
      <alignment horizontal="center" vertical="center"/>
    </xf>
    <xf numFmtId="4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6" xfId="0" applyNumberFormat="1" applyBorder="1"/>
    <xf numFmtId="164" fontId="0" fillId="0" borderId="6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7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3" fontId="0" fillId="0" borderId="8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1" fillId="0" borderId="0" xfId="0" applyNumberFormat="1" applyFont="1" applyAlignment="1">
      <alignment horizontal="right"/>
    </xf>
    <xf numFmtId="11" fontId="1" fillId="0" borderId="1" xfId="0" applyNumberFormat="1" applyFon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4" fillId="0" borderId="10" xfId="0" applyFont="1" applyBorder="1"/>
    <xf numFmtId="4" fontId="0" fillId="0" borderId="13" xfId="0" applyNumberFormat="1" applyBorder="1" applyAlignment="1">
      <alignment horizontal="right"/>
    </xf>
    <xf numFmtId="0" fontId="0" fillId="0" borderId="13" xfId="0" applyBorder="1"/>
    <xf numFmtId="4" fontId="1" fillId="0" borderId="4" xfId="0" applyNumberFormat="1" applyFont="1" applyBorder="1" applyAlignment="1">
      <alignment horizontal="right"/>
    </xf>
    <xf numFmtId="4" fontId="0" fillId="0" borderId="4" xfId="0" applyNumberFormat="1" applyBorder="1" applyAlignment="1">
      <alignment horizontal="right"/>
    </xf>
    <xf numFmtId="0" fontId="5" fillId="0" borderId="11" xfId="0" applyFont="1" applyBorder="1"/>
    <xf numFmtId="3" fontId="0" fillId="0" borderId="4" xfId="0" applyNumberFormat="1" applyBorder="1" applyAlignment="1">
      <alignment horizontal="right"/>
    </xf>
    <xf numFmtId="4" fontId="1" fillId="0" borderId="0" xfId="0" applyNumberFormat="1" applyFont="1" applyAlignment="1">
      <alignment horizontal="right"/>
    </xf>
    <xf numFmtId="0" fontId="0" fillId="0" borderId="11" xfId="0" applyBorder="1"/>
    <xf numFmtId="0" fontId="5" fillId="0" borderId="4" xfId="0" applyFont="1" applyBorder="1"/>
    <xf numFmtId="0" fontId="0" fillId="0" borderId="12" xfId="0" applyBorder="1"/>
    <xf numFmtId="165" fontId="0" fillId="0" borderId="4" xfId="0" applyNumberFormat="1" applyBorder="1"/>
    <xf numFmtId="0" fontId="7" fillId="0" borderId="1" xfId="0" applyFont="1" applyBorder="1"/>
    <xf numFmtId="166" fontId="1" fillId="0" borderId="1" xfId="0" applyNumberFormat="1" applyFont="1" applyBorder="1" applyAlignment="1">
      <alignment horizontal="right"/>
    </xf>
    <xf numFmtId="0" fontId="0" fillId="0" borderId="1" xfId="0" applyBorder="1"/>
    <xf numFmtId="4" fontId="0" fillId="0" borderId="0" xfId="0" applyNumberFormat="1" applyBorder="1" applyAlignment="1">
      <alignment horizontal="right"/>
    </xf>
    <xf numFmtId="165" fontId="0" fillId="0" borderId="0" xfId="0" applyNumberFormat="1" applyBorder="1"/>
    <xf numFmtId="3" fontId="0" fillId="0" borderId="0" xfId="0" applyNumberForma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0" fontId="0" fillId="0" borderId="0" xfId="0" applyBorder="1"/>
    <xf numFmtId="0" fontId="0" fillId="0" borderId="4" xfId="0" applyFont="1" applyFill="1" applyBorder="1"/>
    <xf numFmtId="4" fontId="0" fillId="0" borderId="4" xfId="0" applyNumberFormat="1" applyFont="1" applyFill="1" applyBorder="1"/>
    <xf numFmtId="0" fontId="0" fillId="0" borderId="5" xfId="0" applyFont="1" applyFill="1" applyBorder="1"/>
    <xf numFmtId="4" fontId="0" fillId="0" borderId="5" xfId="0" applyNumberFormat="1" applyFont="1" applyFill="1" applyBorder="1"/>
  </cellXfs>
  <cellStyles count="2">
    <cellStyle name="Normal" xfId="0" builtinId="0"/>
    <cellStyle name="Normal 2" xfId="1" xr:uid="{127FEE2A-CF76-4986-A4BC-3363233C8C76}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numFmt numFmtId="164" formatCode="0.0"/>
    </dxf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none">
          <fgColor theme="4" tint="0.79998168889431442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#,##0.00000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numFmt numFmtId="164" formatCode="0.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ök, Ali" id="{225DE312-2597-4284-8E1A-4635D93CA1E7}" userId="S::ali.koek@tuwien.ac.at::cf6fa925-1299-4444-9ac8-ff6284848d5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9571E1D-EB57-F940-A7EE-B4E016FED798}" name="Table19" displayName="Table19" ref="A1:C19" totalsRowShown="0">
  <autoFilter ref="A1:C19" xr:uid="{B9571E1D-EB57-F940-A7EE-B4E016FED798}"/>
  <tableColumns count="3">
    <tableColumn id="1" xr3:uid="{D5F77C54-240D-B14D-B851-945DBDE3A08D}" name="Column1"/>
    <tableColumn id="2" xr3:uid="{6DD15136-AC85-FA45-9C0B-509402894BA4}" name="Column2"/>
    <tableColumn id="3" xr3:uid="{02AC5DDB-F4DD-A84D-97E6-8013F669BB43}" name="Column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6ED4D50-1123-E949-B24C-D9042A5B61CF}" name="Table18" displayName="Table18" ref="A1:C8" totalsRowShown="0">
  <autoFilter ref="A1:C8" xr:uid="{26ED4D50-1123-E949-B24C-D9042A5B61CF}"/>
  <tableColumns count="3">
    <tableColumn id="1" xr3:uid="{DD74AD4C-95CB-C443-AD2E-6BE1218AEB3E}" name="parameter"/>
    <tableColumn id="2" xr3:uid="{4C68EC3E-0172-E845-9C6B-1ED078CD7364}" name="value" dataDxfId="63"/>
    <tableColumn id="3" xr3:uid="{C86C030E-E0D4-0841-8D76-4002473F90F1}" name="un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F6216C-F725-4A40-96FC-5D15647CF812}" name="Table2" displayName="Table2" ref="A1:A7" totalsRowShown="0">
  <autoFilter ref="A1:A7" xr:uid="{FAF6216C-F725-4A40-96FC-5D15647CF812}"/>
  <tableColumns count="1">
    <tableColumn id="1" xr3:uid="{C381D0D6-DB33-BC49-AC66-ADB74ACA20EF}" name="peri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33579A-3E14-D64E-9018-1AF695D4C8B1}" name="Table9" displayName="Table9" ref="A1:C3" totalsRowShown="0">
  <autoFilter ref="A1:C3" xr:uid="{3C33579A-3E14-D64E-9018-1AF695D4C8B1}"/>
  <tableColumns count="3">
    <tableColumn id="1" xr3:uid="{ED20BE61-C27B-5D4E-ABB1-A23EFA3CCE6B}" name="temp"/>
    <tableColumn id="2" xr3:uid="{F33F6078-1627-E94B-88E4-D984F5DFDF50}" name="description"/>
    <tableColumn id="3" xr3:uid="{F114FCAF-AA77-2A44-8D76-F57DCC1F311F}" name="consid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626484-85AF-5041-957F-E85DA4C25AB2}" name="Table3" displayName="Table3" ref="A1:C4" totalsRowShown="0">
  <autoFilter ref="A1:C4" xr:uid="{8B626484-85AF-5041-957F-E85DA4C25AB2}"/>
  <tableColumns count="3">
    <tableColumn id="1" xr3:uid="{C36B60D9-30A8-5442-A73D-A5A1B9BF4E4E}" name="price"/>
    <tableColumn id="3" xr3:uid="{940C6F2B-B766-364C-A5B6-3499606ACB70}" name="description"/>
    <tableColumn id="2" xr3:uid="{1B34DAAF-21C1-A343-8199-B6012F89C430}" name="consid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AB5FC-614F-AC40-A946-5484D198EC66}" name="Table35" displayName="Table35" ref="A1:C4" totalsRowShown="0">
  <autoFilter ref="A1:C4" xr:uid="{817AB5FC-614F-AC40-A946-5484D198EC66}"/>
  <tableColumns count="3">
    <tableColumn id="1" xr3:uid="{14F03FE3-1DBD-7648-B650-E9D93D59107B}" name="policy"/>
    <tableColumn id="3" xr3:uid="{66CD3608-EBFE-4A46-9047-5F63E2E4DDC0}" name="description"/>
    <tableColumn id="2" xr3:uid="{CFEFBC9E-1FAE-6B41-AEBD-7DB7A89C3100}" name="conside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FC38AE-028C-A241-B2F3-27FC7C46409E}" name="Table12" displayName="Table12" ref="A1:A6" totalsRowShown="0">
  <autoFilter ref="A1:A6" xr:uid="{23FC38AE-028C-A241-B2F3-27FC7C46409E}"/>
  <tableColumns count="1">
    <tableColumn id="1" xr3:uid="{E6BF1DC7-0434-8C4D-AA18-0BE254498D36}" name="carrie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882A81-F8DE-0144-93E2-00CF1002DDDF}" name="Table5" displayName="Table5" ref="A1:M11" totalsRowShown="0" headerRowDxfId="62" dataDxfId="61">
  <autoFilter ref="A1:M11" xr:uid="{FD882A81-F8DE-0144-93E2-00CF1002DDDF}"/>
  <tableColumns count="13">
    <tableColumn id="1" xr3:uid="{868DC66B-4871-9440-B784-62CA1C1DEB3D}" name="technology"/>
    <tableColumn id="2" xr3:uid="{F361D323-2AB7-3243-8BF6-C7B1ED8F5941}" name="full_name"/>
    <tableColumn id="3" xr3:uid="{79F346BB-FC78-FB4E-A9A0-FD4FA0309C2B}" name="max_additional_capacity[MW_th]" dataDxfId="60"/>
    <tableColumn id="13" xr3:uid="{D9CC6A1D-6089-954D-8367-F8C68B36B603}" name="max_capacity[MW_th]" dataDxfId="59"/>
    <tableColumn id="4" xr3:uid="{BDBFA7FD-003F-7F4F-A3B2-20981C777A55}" name="investment_cost[MSEK/MW_th]" dataDxfId="58"/>
    <tableColumn id="10" xr3:uid="{DFB17F4B-5A37-1642-8849-77F856E8018B}" name="lifetime_new" dataDxfId="57"/>
    <tableColumn id="5" xr3:uid="{BDDCBB70-2C99-684C-A9A9-EBC0FC0A84B2}" name="fixed_om[MSEK/MW_th]" dataDxfId="56"/>
    <tableColumn id="6" xr3:uid="{574866B3-F163-4D4C-B601-C51435C24A85}" name="variable_om[SEK/MWh_th]" dataDxfId="55"/>
    <tableColumn id="7" xr3:uid="{438E0D88-9265-1940-BB5E-BCE87F228216}" name="efficiency_th" dataDxfId="54"/>
    <tableColumn id="8" xr3:uid="{D00A978F-6086-4640-9ED7-C3C6D93C1328}" name="efficiency_el" dataDxfId="53"/>
    <tableColumn id="9" xr3:uid="{F52C573D-5B66-A44D-ADF2-A8B3E8C8B50A}" name="energy_carrier"/>
    <tableColumn id="11" xr3:uid="{C7994D6F-A295-D54A-A559-31FF5EEB1497}" name="lifetime_initial" dataDxfId="52"/>
    <tableColumn id="12" xr3:uid="{84DA6FDF-66A0-E342-A352-BDC029078C61}" name="initial_capacity[MW_th]" dataDxfId="5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74C452-8F93-274C-BBE5-D923918973C5}" name="Table13" displayName="Table13" ref="A1:N2" totalsRowShown="0" dataDxfId="50">
  <autoFilter ref="A1:N2" xr:uid="{EC74C452-8F93-274C-BBE5-D923918973C5}"/>
  <tableColumns count="14">
    <tableColumn id="1" xr3:uid="{51FE7937-DD9C-1B47-BC9B-AF8784B94687}" name="storage" dataDxfId="49"/>
    <tableColumn id="2" xr3:uid="{6005D8F2-461A-974A-A102-9B614E3B3719}" name="investment_cost[MSEK/MW_th]" dataDxfId="48"/>
    <tableColumn id="12" xr3:uid="{2D22C2C7-26D5-5E40-B5BD-47CC13254944}" name="max_additional_capacity[MW_th]" dataDxfId="47"/>
    <tableColumn id="3" xr3:uid="{F509AE3C-A221-C742-AEE6-FE6CAFB8A0E7}" name="fixed_om[MSEK/MW_th]" dataDxfId="46"/>
    <tableColumn id="4" xr3:uid="{9758490E-650B-444A-8A8F-84BCA79A7747}" name="variable_om[SEK/MWh_th]" dataDxfId="45"/>
    <tableColumn id="5" xr3:uid="{1A4DBDAF-8B14-3643-A41D-54ED8796F76C}" name="efficiency_th" dataDxfId="44"/>
    <tableColumn id="6" xr3:uid="{4DFD5911-DFF8-C342-A6FF-8D0C33D3B6DF}" name="loss_rate" dataDxfId="43"/>
    <tableColumn id="7" xr3:uid="{CB5053F0-5DCB-894C-B961-052A85F59B48}" name="max_charge_rate" dataDxfId="42"/>
    <tableColumn id="8" xr3:uid="{84E99A4B-14DC-054A-BCE9-C59DD8F973D9}" name="max_discharge_rate" dataDxfId="41"/>
    <tableColumn id="9" xr3:uid="{64973AB7-F48F-E44E-8B39-C1923C7D742F}" name="lifetime_new" dataDxfId="40"/>
    <tableColumn id="10" xr3:uid="{8CB64883-5E67-5744-A208-1FFEDC61BAE4}" name="max_capacity[MW_th]" dataDxfId="39"/>
    <tableColumn id="11" xr3:uid="{69ECC3DD-1C3A-134D-AF1A-E30B40742C6A}" name="initial_capacity[MW_th]" dataDxfId="38"/>
    <tableColumn id="13" xr3:uid="{9861D714-A522-664E-BC10-1EAA1FD5D611}" name="lifetime_initial" dataDxfId="37"/>
    <tableColumn id="14" xr3:uid="{5AF5D246-D5AA-E245-B2BB-C2D6F90BB03D}" name="initial_capacity[MW_th]2" dataDxfId="3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8CCE58-DED8-A745-B8E8-1C0AE4CA34DC}" name="Table7" displayName="Table7" ref="A1:C6" totalsRowShown="0">
  <autoFilter ref="A1:C6" xr:uid="{E58CCE58-DED8-A745-B8E8-1C0AE4CA34DC}"/>
  <tableColumns count="3">
    <tableColumn id="1" xr3:uid="{77DE1095-08EA-6641-BC99-B1F93D145A4D}" name="carrier"/>
    <tableColumn id="2" xr3:uid="{B629A9C5-2AE8-D542-AB7D-0927CC815DD1}" name="emission_factor"/>
    <tableColumn id="3" xr3:uid="{E41A866C-AEDE-A449-85C8-C2E8ACD71D31}" name="uni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4F4A7-F816-E641-997E-CA2D25BCBEF6}" name="Table1" displayName="Table1" ref="A1:C29" totalsRowShown="0">
  <autoFilter ref="A1:C29" xr:uid="{54A4F4A7-F816-E641-997E-CA2D25BCBEF6}"/>
  <tableColumns count="3">
    <tableColumn id="1" xr3:uid="{3BD6C692-C0CB-1F4A-A019-DE2E92CFAE2A}" name="year" dataDxfId="35" dataCellStyle="Normal 2"/>
    <tableColumn id="2" xr3:uid="{0F280846-49F5-934B-A810-2C62B04991E6}" name="emission_factor" dataCellStyle="Normal 2"/>
    <tableColumn id="3" xr3:uid="{42EC7625-FDAE-7643-B488-248E7A630D8A}" name="unit" dataCellStyle="Normal 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16EDC38-DBCB-C642-BB89-7B6A02D83301}" name="Table17" displayName="Table17" ref="A1:D181" totalsRowShown="0" headerRowDxfId="34" dataDxfId="32" headerRowBorderDxfId="33" tableBorderDxfId="31" totalsRowBorderDxfId="30">
  <autoFilter ref="A1:D181" xr:uid="{D16EDC38-DBCB-C642-BB89-7B6A02D83301}"/>
  <sortState xmlns:xlrd2="http://schemas.microsoft.com/office/spreadsheetml/2017/richdata2" ref="A2:D121">
    <sortCondition ref="C1:C121"/>
  </sortState>
  <tableColumns count="4">
    <tableColumn id="1" xr3:uid="{83E2A310-345F-4D48-88AB-6EB229FE61FB}" name="technology" dataDxfId="29"/>
    <tableColumn id="2" xr3:uid="{127528C8-5862-1F45-B9D6-40D5551C6CFE}" name="efficiency" dataDxfId="28"/>
    <tableColumn id="3" xr3:uid="{49020728-F636-3E40-B1DC-F8B22CE04462}" name="temperature" dataDxfId="27"/>
    <tableColumn id="4" xr3:uid="{71FB06D7-AC0E-5543-8573-C772A08380AE}" name="year" dataDxfId="26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4498F7-5ACB-9242-9CBF-BF357AD529E3}" name="Table20" displayName="Table20" ref="A1:D18" totalsRowShown="0" headerRowDxfId="25" dataDxfId="24">
  <autoFilter ref="A1:D18" xr:uid="{0E4498F7-5ACB-9242-9CBF-BF357AD529E3}"/>
  <sortState xmlns:xlrd2="http://schemas.microsoft.com/office/spreadsheetml/2017/richdata2" ref="A2:D18">
    <sortCondition ref="A1:A18"/>
  </sortState>
  <tableColumns count="4">
    <tableColumn id="1" xr3:uid="{FA0AA9F4-F6FF-894A-BE11-953F947158F7}" name="technology" dataDxfId="23"/>
    <tableColumn id="2" xr3:uid="{89CFC37E-CD5B-F74A-907A-0ABE3D42E617}" name="capacity" dataDxfId="22"/>
    <tableColumn id="3" xr3:uid="{23E073AB-3198-8B45-AE46-99DE186F5E91}" name="lives" dataDxfId="21"/>
    <tableColumn id="4" xr3:uid="{CF4FC934-47CC-2541-838B-BA7EA102F334}" name="retiremen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B69B43-422C-874C-867E-51CB70F7989F}" name="Table8" displayName="Table8" ref="A1:E73" totalsRowShown="0" headerRowDxfId="20" dataDxfId="19">
  <autoFilter ref="A1:E73" xr:uid="{76B69B43-422C-874C-867E-51CB70F7989F}"/>
  <sortState xmlns:xlrd2="http://schemas.microsoft.com/office/spreadsheetml/2017/richdata2" ref="A2:E73">
    <sortCondition ref="C1:C73"/>
  </sortState>
  <tableColumns count="5">
    <tableColumn id="2" xr3:uid="{A137D309-D326-994A-9B80-E2B1EA0BB368}" name="price" dataDxfId="18"/>
    <tableColumn id="3" xr3:uid="{ADF79471-6D89-F34E-974D-2BF2389E4936}" name="year" dataDxfId="17"/>
    <tableColumn id="4" xr3:uid="{BA303E21-A160-F547-A428-749DB5EE1098}" name="carrier" dataDxfId="16"/>
    <tableColumn id="5" xr3:uid="{961B8F42-D0F4-1640-9AF5-EDD3B18C132E}" name="value" dataDxfId="15"/>
    <tableColumn id="6" xr3:uid="{40F2FE15-45B6-0743-9C61-FC51ACB800F7}" name="unit" dataDxfId="14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30E5B7-11E3-814C-85F7-241216FB886C}" name="Table11" displayName="Table11" ref="A1:E19" totalsRowShown="0">
  <autoFilter ref="A1:E19" xr:uid="{7E30E5B7-11E3-814C-85F7-241216FB886C}"/>
  <sortState xmlns:xlrd2="http://schemas.microsoft.com/office/spreadsheetml/2017/richdata2" ref="A2:D19">
    <sortCondition ref="A1:A19"/>
  </sortState>
  <tableColumns count="5">
    <tableColumn id="1" xr3:uid="{0905A90F-FAD4-E549-8039-012F5205C58D}" name="year" dataDxfId="13"/>
    <tableColumn id="2" xr3:uid="{E1999FA7-AEBD-8548-9355-D0D0D76818F0}" name="policy" dataDxfId="12"/>
    <tableColumn id="3" xr3:uid="{6EA135D0-86CB-624E-8F5F-4ABCC50202B6}" name="description"/>
    <tableColumn id="4" xr3:uid="{DC46E935-1502-0847-A45E-8023C0D521D5}" name="CO2tax" dataDxfId="11"/>
    <tableColumn id="5" xr3:uid="{35F30A3F-D67A-2C48-B688-C685E32D4D1F}" name="unit" dataDxfId="1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D6F19-0095-0A4B-B5B7-E919097EBFFE}" name="Table6" displayName="Table6" ref="A1:D7" totalsRowShown="0">
  <autoFilter ref="A1:D7" xr:uid="{5A7D6F19-0095-0A4B-B5B7-E919097EBFFE}"/>
  <tableColumns count="4">
    <tableColumn id="1" xr3:uid="{A2A4CC35-996B-A443-86AB-BCCFA044094C}" name="carrier"/>
    <tableColumn id="2" xr3:uid="{CEA86FFC-D5D5-3B41-9550-5B804A695D93}" name="year"/>
    <tableColumn id="3" xr3:uid="{C618D355-1D89-7F49-8ACB-D280B0A7DB72}" name="limitation" dataDxfId="9"/>
    <tableColumn id="4" xr3:uid="{4B323D86-19D6-C14D-B83A-58CF61577FE2}" name="unit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4F84B62-E9B4-8A48-8404-AFDDE0D91854}" name="Table15" displayName="Table15" ref="A1:D4" totalsRowShown="0" dataDxfId="8">
  <autoFilter ref="A1:D4" xr:uid="{44F84B62-E9B4-8A48-8404-AFDDE0D91854}"/>
  <tableColumns count="4">
    <tableColumn id="1" xr3:uid="{F2329A21-B3E7-5549-A709-69C090FC2AE9}" name="price"/>
    <tableColumn id="2" xr3:uid="{52E3A01F-C174-D642-A274-452231641161}" name="high" dataDxfId="7"/>
    <tableColumn id="3" xr3:uid="{9B5E0F86-3424-3D48-B9F1-E7DA23BD026C}" name="mid" dataDxfId="6"/>
    <tableColumn id="4" xr3:uid="{A9EDD2F6-AD52-3A49-89DB-3D2BD6F4480A}" name="low" dataDxfId="5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AFC741-EC4B-0241-9512-6FDF9848BF33}" name="Table16" displayName="Table16" ref="A1:D4" totalsRowShown="0" dataDxfId="4">
  <autoFilter ref="A1:D4" xr:uid="{B6AFC741-EC4B-0241-9512-6FDF9848BF33}"/>
  <tableColumns count="4">
    <tableColumn id="1" xr3:uid="{C9246BEC-CB29-8A4D-B32C-AF991C082AF8}" name="scenario" dataDxfId="3"/>
    <tableColumn id="2" xr3:uid="{FD79EF99-39ED-064A-9B7C-57F6EEEC3B3F}" name="policy" dataDxfId="2"/>
    <tableColumn id="3" xr3:uid="{8F2FBAA4-E4AF-964C-BF19-FD334DBF6C39}" name="description"/>
    <tableColumn id="4" xr3:uid="{5CACB908-336F-094C-B037-0AA4D655D04D}" name="probability" dataDxfId="1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1D1011-935D-F748-BE5C-0CC0941355C0}" name="Table911" displayName="Table911" ref="A1:B3" totalsRowShown="0">
  <autoFilter ref="A1:B3" xr:uid="{4C1D1011-935D-F748-BE5C-0CC0941355C0}"/>
  <tableColumns count="2">
    <tableColumn id="1" xr3:uid="{A52C9FB6-BD7C-9846-8D33-F74FD83C222A}" name="temp"/>
    <tableColumn id="2" xr3:uid="{1ECDABE9-D194-1F41-9B19-BA80095AC59A}" name="probabilit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8BE03C9-15F3-0E45-9E78-3AD525DBD3CB}" name="Table14" displayName="Table14" ref="A1:C4" totalsRowShown="0">
  <autoFilter ref="A1:C4" xr:uid="{C8BE03C9-15F3-0E45-9E78-3AD525DBD3CB}"/>
  <tableColumns count="3">
    <tableColumn id="1" xr3:uid="{9027F055-3381-BF41-83D4-A58563ADC5E2}" name="multiplier"/>
    <tableColumn id="2" xr3:uid="{74C29495-DC62-974F-9185-754C76C6D1D3}" name="probability" dataDxfId="0"/>
    <tableColumn id="3" xr3:uid="{89BBF1AB-58DB-B24D-8190-10BBBAC011B3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10-24T14:22:12.17" personId="{225DE312-2597-4284-8E1A-4635D93CA1E7}" id="{6726280B-D021-F648-BE2E-BD0FEF7ADB05}">
    <text>EUR values converted to SEK by multiplying by 10,92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B1B6-D767-AB48-B915-9C2554CC9AA3}">
  <dimension ref="A1:D30"/>
  <sheetViews>
    <sheetView workbookViewId="0">
      <selection activeCell="D31" sqref="D31"/>
    </sheetView>
  </sheetViews>
  <sheetFormatPr baseColWidth="10" defaultRowHeight="15" x14ac:dyDescent="0.2"/>
  <cols>
    <col min="1" max="1" width="21.83203125" customWidth="1"/>
    <col min="2" max="2" width="32.1640625" customWidth="1"/>
  </cols>
  <sheetData>
    <row r="1" spans="1:3" x14ac:dyDescent="0.2">
      <c r="A1" t="s">
        <v>87</v>
      </c>
      <c r="B1" t="s">
        <v>88</v>
      </c>
      <c r="C1" t="s">
        <v>128</v>
      </c>
    </row>
    <row r="2" spans="1:3" x14ac:dyDescent="0.2">
      <c r="A2" t="s">
        <v>91</v>
      </c>
      <c r="B2" t="s">
        <v>92</v>
      </c>
      <c r="C2" t="s">
        <v>93</v>
      </c>
    </row>
    <row r="3" spans="1:3" x14ac:dyDescent="0.2">
      <c r="A3" t="s">
        <v>94</v>
      </c>
      <c r="B3" t="s">
        <v>111</v>
      </c>
    </row>
    <row r="4" spans="1:3" x14ac:dyDescent="0.2">
      <c r="A4" t="s">
        <v>95</v>
      </c>
      <c r="B4" t="s">
        <v>112</v>
      </c>
    </row>
    <row r="5" spans="1:3" x14ac:dyDescent="0.2">
      <c r="A5" t="s">
        <v>96</v>
      </c>
      <c r="B5" t="s">
        <v>113</v>
      </c>
    </row>
    <row r="6" spans="1:3" x14ac:dyDescent="0.2">
      <c r="A6" t="s">
        <v>97</v>
      </c>
      <c r="B6" t="s">
        <v>114</v>
      </c>
    </row>
    <row r="7" spans="1:3" x14ac:dyDescent="0.2">
      <c r="A7" t="s">
        <v>98</v>
      </c>
      <c r="B7" t="s">
        <v>115</v>
      </c>
    </row>
    <row r="8" spans="1:3" x14ac:dyDescent="0.2">
      <c r="A8" t="s">
        <v>99</v>
      </c>
      <c r="B8" t="s">
        <v>116</v>
      </c>
    </row>
    <row r="9" spans="1:3" x14ac:dyDescent="0.2">
      <c r="A9" t="s">
        <v>100</v>
      </c>
      <c r="B9" t="s">
        <v>117</v>
      </c>
    </row>
    <row r="10" spans="1:3" x14ac:dyDescent="0.2">
      <c r="A10" t="s">
        <v>101</v>
      </c>
      <c r="B10" t="s">
        <v>118</v>
      </c>
    </row>
    <row r="11" spans="1:3" x14ac:dyDescent="0.2">
      <c r="A11" t="s">
        <v>102</v>
      </c>
      <c r="B11" t="s">
        <v>119</v>
      </c>
    </row>
    <row r="12" spans="1:3" x14ac:dyDescent="0.2">
      <c r="A12" t="s">
        <v>103</v>
      </c>
      <c r="B12" t="s">
        <v>120</v>
      </c>
    </row>
    <row r="13" spans="1:3" x14ac:dyDescent="0.2">
      <c r="A13" t="s">
        <v>104</v>
      </c>
      <c r="B13" t="s">
        <v>121</v>
      </c>
    </row>
    <row r="14" spans="1:3" x14ac:dyDescent="0.2">
      <c r="A14" t="s">
        <v>105</v>
      </c>
      <c r="B14" t="s">
        <v>122</v>
      </c>
    </row>
    <row r="15" spans="1:3" x14ac:dyDescent="0.2">
      <c r="A15" t="s">
        <v>106</v>
      </c>
      <c r="B15" t="s">
        <v>125</v>
      </c>
    </row>
    <row r="16" spans="1:3" x14ac:dyDescent="0.2">
      <c r="A16" t="s">
        <v>107</v>
      </c>
      <c r="B16" t="s">
        <v>123</v>
      </c>
    </row>
    <row r="17" spans="1:4" x14ac:dyDescent="0.2">
      <c r="A17" t="s">
        <v>108</v>
      </c>
      <c r="B17" t="s">
        <v>124</v>
      </c>
    </row>
    <row r="18" spans="1:4" x14ac:dyDescent="0.2">
      <c r="A18" t="s">
        <v>109</v>
      </c>
      <c r="B18" t="s">
        <v>126</v>
      </c>
    </row>
    <row r="19" spans="1:4" x14ac:dyDescent="0.2">
      <c r="A19" t="s">
        <v>110</v>
      </c>
      <c r="B19" t="s">
        <v>127</v>
      </c>
    </row>
    <row r="26" spans="1:4" x14ac:dyDescent="0.2">
      <c r="D26" t="s">
        <v>139</v>
      </c>
    </row>
    <row r="27" spans="1:4" x14ac:dyDescent="0.2">
      <c r="D27" t="s">
        <v>140</v>
      </c>
    </row>
    <row r="28" spans="1:4" x14ac:dyDescent="0.2">
      <c r="D28" t="s">
        <v>141</v>
      </c>
    </row>
    <row r="29" spans="1:4" x14ac:dyDescent="0.2">
      <c r="D29" t="s">
        <v>142</v>
      </c>
    </row>
    <row r="30" spans="1:4" x14ac:dyDescent="0.2">
      <c r="D30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8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9" bestFit="1" customWidth="1"/>
    <col min="2" max="2" width="9.1640625" style="4" bestFit="1" customWidth="1"/>
    <col min="3" max="3" width="23.5" bestFit="1" customWidth="1"/>
  </cols>
  <sheetData>
    <row r="1" spans="1:3" ht="18.75" customHeight="1" x14ac:dyDescent="0.2">
      <c r="A1" s="6" t="s">
        <v>12</v>
      </c>
      <c r="B1" s="7" t="s">
        <v>13</v>
      </c>
      <c r="C1" s="6" t="s">
        <v>30</v>
      </c>
    </row>
    <row r="2" spans="1:3" ht="18.75" customHeight="1" x14ac:dyDescent="0.2">
      <c r="A2" t="s">
        <v>23</v>
      </c>
      <c r="B2" s="18">
        <f>COUNT(Table2[period])</f>
        <v>6</v>
      </c>
      <c r="C2" t="s">
        <v>43</v>
      </c>
    </row>
    <row r="3" spans="1:3" ht="18.75" customHeight="1" x14ac:dyDescent="0.2">
      <c r="A3" t="s">
        <v>24</v>
      </c>
      <c r="B3" s="18">
        <f>Table2[[#This Row],[period]]-ListPeriods!A2</f>
        <v>5</v>
      </c>
      <c r="C3" t="s">
        <v>42</v>
      </c>
    </row>
    <row r="4" spans="1:3" ht="18.75" customHeight="1" x14ac:dyDescent="0.2">
      <c r="A4" t="s">
        <v>25</v>
      </c>
      <c r="B4" s="15">
        <v>0.04</v>
      </c>
    </row>
    <row r="5" spans="1:3" ht="18.75" customHeight="1" x14ac:dyDescent="0.2">
      <c r="A5" t="s">
        <v>26</v>
      </c>
      <c r="B5" s="15">
        <v>7901900</v>
      </c>
      <c r="C5" t="s">
        <v>44</v>
      </c>
    </row>
    <row r="6" spans="1:3" ht="18.75" customHeight="1" x14ac:dyDescent="0.2">
      <c r="A6" t="s">
        <v>27</v>
      </c>
      <c r="B6" s="15">
        <v>0.9</v>
      </c>
    </row>
    <row r="7" spans="1:3" ht="18.75" customHeight="1" x14ac:dyDescent="0.2">
      <c r="A7" t="s">
        <v>28</v>
      </c>
      <c r="B7" s="29">
        <v>1000000</v>
      </c>
      <c r="C7" t="s">
        <v>31</v>
      </c>
    </row>
    <row r="8" spans="1:3" x14ac:dyDescent="0.2">
      <c r="A8" t="s">
        <v>29</v>
      </c>
      <c r="B8" s="19">
        <v>150</v>
      </c>
      <c r="C8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1AA1-67DA-FB44-B876-228A6288195C}">
  <dimension ref="A1:A7"/>
  <sheetViews>
    <sheetView workbookViewId="0">
      <selection activeCell="E8" sqref="E8"/>
    </sheetView>
  </sheetViews>
  <sheetFormatPr baseColWidth="10" defaultRowHeight="15" x14ac:dyDescent="0.2"/>
  <sheetData>
    <row r="1" spans="1:1" x14ac:dyDescent="0.2">
      <c r="A1" t="s">
        <v>56</v>
      </c>
    </row>
    <row r="2" spans="1:1" x14ac:dyDescent="0.2">
      <c r="A2">
        <v>2025</v>
      </c>
    </row>
    <row r="3" spans="1:1" x14ac:dyDescent="0.2">
      <c r="A3">
        <v>2030</v>
      </c>
    </row>
    <row r="4" spans="1:1" x14ac:dyDescent="0.2">
      <c r="A4">
        <v>2035</v>
      </c>
    </row>
    <row r="5" spans="1:1" x14ac:dyDescent="0.2">
      <c r="A5">
        <v>2040</v>
      </c>
    </row>
    <row r="6" spans="1:1" x14ac:dyDescent="0.2">
      <c r="A6">
        <v>2045</v>
      </c>
    </row>
    <row r="7" spans="1:1" x14ac:dyDescent="0.2">
      <c r="A7">
        <v>2050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3672-FC01-1744-AF2E-411812A2A98C}">
  <dimension ref="A1:C3"/>
  <sheetViews>
    <sheetView tabSelected="1" workbookViewId="0">
      <selection activeCell="E6" sqref="E6"/>
    </sheetView>
  </sheetViews>
  <sheetFormatPr baseColWidth="10" defaultRowHeight="15" x14ac:dyDescent="0.2"/>
  <cols>
    <col min="2" max="2" width="20.6640625" bestFit="1" customWidth="1"/>
  </cols>
  <sheetData>
    <row r="1" spans="1:3" x14ac:dyDescent="0.2">
      <c r="A1" t="s">
        <v>130</v>
      </c>
      <c r="B1" t="s">
        <v>2</v>
      </c>
      <c r="C1" t="s">
        <v>129</v>
      </c>
    </row>
    <row r="2" spans="1:3" x14ac:dyDescent="0.2">
      <c r="A2" t="s">
        <v>83</v>
      </c>
      <c r="B2" t="s">
        <v>85</v>
      </c>
      <c r="C2" t="b">
        <v>1</v>
      </c>
    </row>
    <row r="3" spans="1:3" x14ac:dyDescent="0.2">
      <c r="A3" t="s">
        <v>84</v>
      </c>
      <c r="B3" t="s">
        <v>86</v>
      </c>
      <c r="C3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5FA3-4890-FF4C-A979-B8D8998DFB99}">
  <dimension ref="A1:C4"/>
  <sheetViews>
    <sheetView workbookViewId="0">
      <selection activeCell="C4" sqref="C4"/>
    </sheetView>
  </sheetViews>
  <sheetFormatPr baseColWidth="10" defaultRowHeight="15" x14ac:dyDescent="0.2"/>
  <sheetData>
    <row r="1" spans="1:3" x14ac:dyDescent="0.2">
      <c r="A1" t="s">
        <v>57</v>
      </c>
      <c r="B1" t="s">
        <v>2</v>
      </c>
      <c r="C1" t="s">
        <v>129</v>
      </c>
    </row>
    <row r="2" spans="1:3" x14ac:dyDescent="0.2">
      <c r="A2" t="s">
        <v>58</v>
      </c>
      <c r="B2" t="s">
        <v>133</v>
      </c>
      <c r="C2" t="b">
        <v>1</v>
      </c>
    </row>
    <row r="3" spans="1:3" x14ac:dyDescent="0.2">
      <c r="A3" t="s">
        <v>69</v>
      </c>
      <c r="B3" t="s">
        <v>132</v>
      </c>
      <c r="C3" t="b">
        <v>1</v>
      </c>
    </row>
    <row r="4" spans="1:3" x14ac:dyDescent="0.2">
      <c r="A4" t="s">
        <v>59</v>
      </c>
      <c r="B4" t="s">
        <v>134</v>
      </c>
      <c r="C4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2539-32F9-AB4A-AA6C-17DEA27A7340}">
  <dimension ref="A1:C4"/>
  <sheetViews>
    <sheetView workbookViewId="0">
      <selection activeCell="C3" sqref="C3"/>
    </sheetView>
  </sheetViews>
  <sheetFormatPr baseColWidth="10" defaultRowHeight="15" x14ac:dyDescent="0.2"/>
  <sheetData>
    <row r="1" spans="1:3" x14ac:dyDescent="0.2">
      <c r="A1" t="s">
        <v>64</v>
      </c>
      <c r="B1" t="s">
        <v>2</v>
      </c>
      <c r="C1" t="s">
        <v>129</v>
      </c>
    </row>
    <row r="2" spans="1:3" x14ac:dyDescent="0.2">
      <c r="A2" t="s">
        <v>60</v>
      </c>
      <c r="B2" t="s">
        <v>137</v>
      </c>
      <c r="C2" t="b">
        <v>0</v>
      </c>
    </row>
    <row r="3" spans="1:3" x14ac:dyDescent="0.2">
      <c r="A3" t="s">
        <v>61</v>
      </c>
      <c r="B3" t="s">
        <v>136</v>
      </c>
      <c r="C3" t="b">
        <v>1</v>
      </c>
    </row>
    <row r="4" spans="1:3" x14ac:dyDescent="0.2">
      <c r="A4" t="s">
        <v>62</v>
      </c>
      <c r="B4" t="s">
        <v>135</v>
      </c>
      <c r="C4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AF23-80EA-2540-9E9D-BCB0DC43AE7B}">
  <dimension ref="A1:A6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s">
        <v>10</v>
      </c>
    </row>
    <row r="2" spans="1:1" x14ac:dyDescent="0.2">
      <c r="A2" t="s">
        <v>34</v>
      </c>
    </row>
    <row r="3" spans="1:1" x14ac:dyDescent="0.2">
      <c r="A3" t="s">
        <v>35</v>
      </c>
    </row>
    <row r="4" spans="1:1" x14ac:dyDescent="0.2">
      <c r="A4" t="s">
        <v>54</v>
      </c>
    </row>
    <row r="5" spans="1:1" x14ac:dyDescent="0.2">
      <c r="A5" t="s">
        <v>52</v>
      </c>
    </row>
    <row r="6" spans="1:1" x14ac:dyDescent="0.2">
      <c r="A6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1"/>
  <sheetViews>
    <sheetView workbookViewId="0">
      <selection activeCell="E27" sqref="E27"/>
    </sheetView>
  </sheetViews>
  <sheetFormatPr baseColWidth="10" defaultColWidth="8.83203125" defaultRowHeight="15" x14ac:dyDescent="0.2"/>
  <cols>
    <col min="1" max="1" width="23.5" customWidth="1"/>
    <col min="2" max="2" width="29.1640625" bestFit="1" customWidth="1"/>
    <col min="3" max="3" width="27.83203125" bestFit="1" customWidth="1"/>
    <col min="4" max="4" width="27.83203125" customWidth="1"/>
    <col min="5" max="5" width="27.83203125" style="4" bestFit="1" customWidth="1"/>
    <col min="6" max="6" width="11.5" style="1" bestFit="1" customWidth="1"/>
    <col min="7" max="7" width="20.83203125" style="1" bestFit="1" customWidth="1"/>
    <col min="8" max="8" width="22.6640625" style="4" bestFit="1" customWidth="1"/>
    <col min="9" max="9" width="11" style="1" bestFit="1" customWidth="1"/>
    <col min="10" max="10" width="11" bestFit="1" customWidth="1"/>
    <col min="11" max="11" width="11.5" style="4" bestFit="1" customWidth="1"/>
    <col min="12" max="12" width="12.6640625" style="4" bestFit="1" customWidth="1"/>
    <col min="13" max="13" width="20.1640625" style="4" bestFit="1" customWidth="1"/>
  </cols>
  <sheetData>
    <row r="1" spans="1:13" ht="18.75" customHeight="1" x14ac:dyDescent="0.2">
      <c r="A1" s="6" t="s">
        <v>17</v>
      </c>
      <c r="B1" s="6" t="s">
        <v>70</v>
      </c>
      <c r="C1" s="7" t="s">
        <v>37</v>
      </c>
      <c r="D1" s="7" t="s">
        <v>81</v>
      </c>
      <c r="E1" s="8" t="s">
        <v>38</v>
      </c>
      <c r="F1" s="7" t="s">
        <v>21</v>
      </c>
      <c r="G1" s="8" t="s">
        <v>39</v>
      </c>
      <c r="H1" s="8" t="s">
        <v>40</v>
      </c>
      <c r="I1" s="7" t="s">
        <v>18</v>
      </c>
      <c r="J1" s="8" t="s">
        <v>19</v>
      </c>
      <c r="K1" s="6" t="s">
        <v>20</v>
      </c>
      <c r="L1" s="7" t="s">
        <v>22</v>
      </c>
      <c r="M1" s="7" t="s">
        <v>36</v>
      </c>
    </row>
    <row r="2" spans="1:13" ht="18.75" customHeight="1" x14ac:dyDescent="0.2">
      <c r="A2" t="s">
        <v>32</v>
      </c>
      <c r="B2" t="s">
        <v>73</v>
      </c>
      <c r="C2" s="3">
        <v>250</v>
      </c>
      <c r="D2" s="3">
        <v>500</v>
      </c>
      <c r="E2" s="14">
        <v>40.700000000000003</v>
      </c>
      <c r="F2" s="3">
        <v>6</v>
      </c>
      <c r="G2" s="14">
        <v>2.2599999999999998</v>
      </c>
      <c r="H2" s="9">
        <v>2.23</v>
      </c>
      <c r="I2">
        <v>0.86</v>
      </c>
      <c r="J2" s="14">
        <v>0.26</v>
      </c>
      <c r="K2" t="s">
        <v>34</v>
      </c>
      <c r="L2" s="3">
        <v>2</v>
      </c>
      <c r="M2" s="3">
        <v>335</v>
      </c>
    </row>
    <row r="3" spans="1:13" x14ac:dyDescent="0.2">
      <c r="A3" t="s">
        <v>47</v>
      </c>
      <c r="B3" t="s">
        <v>72</v>
      </c>
      <c r="C3" s="4">
        <v>250</v>
      </c>
      <c r="D3" s="3">
        <v>500</v>
      </c>
      <c r="E3" s="1">
        <v>1.38</v>
      </c>
      <c r="F3" s="4">
        <v>4</v>
      </c>
      <c r="G3" s="1">
        <v>0.01</v>
      </c>
      <c r="H3" s="1">
        <v>1</v>
      </c>
      <c r="I3" s="4">
        <v>0.98</v>
      </c>
      <c r="J3" s="1">
        <v>0</v>
      </c>
      <c r="K3" t="s">
        <v>11</v>
      </c>
      <c r="L3" s="4">
        <v>0</v>
      </c>
      <c r="M3" s="28">
        <v>300</v>
      </c>
    </row>
    <row r="4" spans="1:13" ht="18.75" customHeight="1" x14ac:dyDescent="0.2">
      <c r="A4" t="s">
        <v>45</v>
      </c>
      <c r="B4" t="s">
        <v>71</v>
      </c>
      <c r="C4" s="3">
        <v>250</v>
      </c>
      <c r="D4" s="3">
        <v>900</v>
      </c>
      <c r="E4" s="14">
        <v>7.4</v>
      </c>
      <c r="F4" s="3">
        <v>4</v>
      </c>
      <c r="G4" s="14">
        <v>0.03</v>
      </c>
      <c r="H4" s="9">
        <v>0.5</v>
      </c>
      <c r="I4">
        <v>2.68</v>
      </c>
      <c r="J4" s="2">
        <v>0</v>
      </c>
      <c r="K4" t="s">
        <v>11</v>
      </c>
      <c r="L4" s="3">
        <v>1</v>
      </c>
      <c r="M4" s="3">
        <v>157</v>
      </c>
    </row>
    <row r="5" spans="1:13" ht="18.75" customHeight="1" x14ac:dyDescent="0.2">
      <c r="A5" t="s">
        <v>48</v>
      </c>
      <c r="B5" t="s">
        <v>74</v>
      </c>
      <c r="C5" s="3">
        <v>250</v>
      </c>
      <c r="D5" s="3">
        <v>400</v>
      </c>
      <c r="E5" s="14">
        <v>81.400000000000006</v>
      </c>
      <c r="F5" s="3">
        <v>6</v>
      </c>
      <c r="G5" s="14">
        <v>2.2599999999999998</v>
      </c>
      <c r="H5" s="9">
        <v>2.23</v>
      </c>
      <c r="I5">
        <v>0.7</v>
      </c>
      <c r="J5" s="2">
        <v>0.21</v>
      </c>
      <c r="K5" t="s">
        <v>54</v>
      </c>
      <c r="L5" s="3">
        <v>1</v>
      </c>
      <c r="M5" s="3">
        <v>386</v>
      </c>
    </row>
    <row r="6" spans="1:13" ht="18.75" customHeight="1" x14ac:dyDescent="0.2">
      <c r="A6" t="s">
        <v>49</v>
      </c>
      <c r="B6" t="s">
        <v>75</v>
      </c>
      <c r="C6" s="3">
        <v>500</v>
      </c>
      <c r="D6" s="3">
        <v>900</v>
      </c>
      <c r="E6" s="14">
        <v>41.22</v>
      </c>
      <c r="F6" s="3">
        <v>6</v>
      </c>
      <c r="G6" s="14">
        <v>2.2599999999999998</v>
      </c>
      <c r="H6" s="9">
        <v>2.23</v>
      </c>
      <c r="I6">
        <v>0.8</v>
      </c>
      <c r="J6" s="2">
        <v>0.27</v>
      </c>
      <c r="K6" t="s">
        <v>52</v>
      </c>
      <c r="L6" s="3">
        <v>2</v>
      </c>
      <c r="M6" s="3">
        <v>226</v>
      </c>
    </row>
    <row r="7" spans="1:13" ht="18.75" customHeight="1" x14ac:dyDescent="0.2">
      <c r="A7" t="s">
        <v>33</v>
      </c>
      <c r="B7" t="s">
        <v>76</v>
      </c>
      <c r="C7" s="3">
        <v>850</v>
      </c>
      <c r="D7" s="3">
        <v>1000000</v>
      </c>
      <c r="E7" s="14">
        <v>3.44</v>
      </c>
      <c r="F7" s="3">
        <v>6</v>
      </c>
      <c r="G7" s="14">
        <v>0.03</v>
      </c>
      <c r="H7" s="9">
        <v>2.5</v>
      </c>
      <c r="I7" s="2">
        <v>0.9</v>
      </c>
      <c r="J7" s="2">
        <v>0</v>
      </c>
      <c r="K7" t="s">
        <v>35</v>
      </c>
      <c r="L7" s="3">
        <v>1</v>
      </c>
      <c r="M7" s="3">
        <v>574</v>
      </c>
    </row>
    <row r="8" spans="1:13" ht="18.75" customHeight="1" x14ac:dyDescent="0.2">
      <c r="A8" t="s">
        <v>46</v>
      </c>
      <c r="B8" t="s">
        <v>77</v>
      </c>
      <c r="C8" s="3">
        <v>500</v>
      </c>
      <c r="D8" s="3">
        <v>500</v>
      </c>
      <c r="E8" s="14">
        <v>22.58</v>
      </c>
      <c r="F8" s="3">
        <v>6</v>
      </c>
      <c r="G8" s="14">
        <v>2.2599999999999998</v>
      </c>
      <c r="H8" s="9">
        <v>2.23</v>
      </c>
      <c r="I8" s="2">
        <v>0.8</v>
      </c>
      <c r="J8" s="2">
        <v>0.5</v>
      </c>
      <c r="K8" t="s">
        <v>35</v>
      </c>
      <c r="L8" s="3">
        <v>1</v>
      </c>
      <c r="M8" s="3">
        <v>982</v>
      </c>
    </row>
    <row r="9" spans="1:13" ht="18.75" customHeight="1" x14ac:dyDescent="0.2">
      <c r="A9" t="s">
        <v>53</v>
      </c>
      <c r="B9" t="s">
        <v>78</v>
      </c>
      <c r="C9" s="3">
        <v>250</v>
      </c>
      <c r="D9" s="3">
        <v>365</v>
      </c>
      <c r="E9" s="14">
        <v>7.42</v>
      </c>
      <c r="F9" s="3">
        <v>4</v>
      </c>
      <c r="G9" s="14">
        <v>0.02</v>
      </c>
      <c r="H9" s="9">
        <v>0.5</v>
      </c>
      <c r="I9" s="2">
        <v>3.2</v>
      </c>
      <c r="J9" s="2">
        <v>0</v>
      </c>
      <c r="K9" t="s">
        <v>11</v>
      </c>
      <c r="L9" s="3">
        <v>0</v>
      </c>
      <c r="M9" s="3">
        <v>0</v>
      </c>
    </row>
    <row r="10" spans="1:13" x14ac:dyDescent="0.2">
      <c r="A10" t="s">
        <v>50</v>
      </c>
      <c r="B10" t="s">
        <v>79</v>
      </c>
      <c r="C10" s="4">
        <v>250</v>
      </c>
      <c r="D10" s="28">
        <v>250</v>
      </c>
      <c r="E10" s="1">
        <v>7.42</v>
      </c>
      <c r="F10" s="4">
        <v>4</v>
      </c>
      <c r="G10" s="1">
        <v>0.03</v>
      </c>
      <c r="H10" s="1">
        <v>0.5</v>
      </c>
      <c r="I10" s="1">
        <v>2.8</v>
      </c>
      <c r="J10" s="1">
        <v>0</v>
      </c>
      <c r="K10" t="s">
        <v>11</v>
      </c>
      <c r="L10" s="4">
        <v>0</v>
      </c>
      <c r="M10" s="28">
        <v>220</v>
      </c>
    </row>
    <row r="11" spans="1:13" x14ac:dyDescent="0.2">
      <c r="A11" t="s">
        <v>51</v>
      </c>
      <c r="B11" t="s">
        <v>80</v>
      </c>
      <c r="C11" s="4">
        <v>250</v>
      </c>
      <c r="D11" s="3">
        <v>95</v>
      </c>
      <c r="E11" s="1">
        <v>10.42</v>
      </c>
      <c r="F11" s="4">
        <v>4</v>
      </c>
      <c r="G11" s="1">
        <v>0.03</v>
      </c>
      <c r="H11" s="1">
        <v>0.5</v>
      </c>
      <c r="I11" s="4">
        <v>2.7</v>
      </c>
      <c r="J11" s="1">
        <v>0</v>
      </c>
      <c r="K11" t="s">
        <v>11</v>
      </c>
      <c r="L11" s="4">
        <v>1</v>
      </c>
      <c r="M11" s="28"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35841-847C-E449-8BA6-740978B3FDD1}">
          <x14:formula1>
            <xm:f>ListCarriers!$A$2:$A$6</xm:f>
          </x14:formula1>
          <xm:sqref>K2:K11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N11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9.33203125" bestFit="1" customWidth="1"/>
    <col min="2" max="2" width="29.33203125" bestFit="1" customWidth="1"/>
    <col min="3" max="3" width="29.33203125" customWidth="1"/>
    <col min="4" max="4" width="20.83203125" bestFit="1" customWidth="1"/>
    <col min="5" max="5" width="22.6640625" bestFit="1" customWidth="1"/>
    <col min="6" max="6" width="11.1640625" bestFit="1" customWidth="1"/>
    <col min="7" max="7" width="10.5" bestFit="1" customWidth="1"/>
    <col min="8" max="8" width="16.83203125" bestFit="1" customWidth="1"/>
    <col min="9" max="9" width="19.1640625" bestFit="1" customWidth="1"/>
    <col min="10" max="10" width="11.5" bestFit="1" customWidth="1"/>
    <col min="11" max="11" width="30.33203125" bestFit="1" customWidth="1"/>
    <col min="12" max="12" width="22.6640625" bestFit="1" customWidth="1"/>
  </cols>
  <sheetData>
    <row r="1" spans="1:14" ht="18.75" customHeight="1" x14ac:dyDescent="0.2">
      <c r="A1" t="s">
        <v>63</v>
      </c>
      <c r="B1" t="s">
        <v>38</v>
      </c>
      <c r="C1" s="7" t="s">
        <v>37</v>
      </c>
      <c r="D1" s="8" t="s">
        <v>39</v>
      </c>
      <c r="E1" s="8" t="s">
        <v>40</v>
      </c>
      <c r="F1" s="7" t="s">
        <v>18</v>
      </c>
      <c r="G1" t="s">
        <v>14</v>
      </c>
      <c r="H1" t="s">
        <v>15</v>
      </c>
      <c r="I1" t="s">
        <v>16</v>
      </c>
      <c r="J1" s="7" t="s">
        <v>21</v>
      </c>
      <c r="K1" t="s">
        <v>81</v>
      </c>
      <c r="L1" t="s">
        <v>36</v>
      </c>
      <c r="M1" s="7" t="s">
        <v>22</v>
      </c>
      <c r="N1" s="7" t="s">
        <v>82</v>
      </c>
    </row>
    <row r="2" spans="1:14" ht="18.75" customHeight="1" x14ac:dyDescent="0.2">
      <c r="A2" s="4" t="s">
        <v>55</v>
      </c>
      <c r="B2" s="44">
        <v>4.0000000000000002E-4</v>
      </c>
      <c r="C2" s="3">
        <v>1000</v>
      </c>
      <c r="D2" s="2">
        <v>0</v>
      </c>
      <c r="E2" s="2">
        <v>0</v>
      </c>
      <c r="F2" s="2">
        <v>0.95</v>
      </c>
      <c r="G2" s="2">
        <v>1E-3</v>
      </c>
      <c r="H2" s="2">
        <v>0.25</v>
      </c>
      <c r="I2" s="2">
        <v>0.25</v>
      </c>
      <c r="J2" s="3">
        <v>3</v>
      </c>
      <c r="K2" s="3">
        <v>1000000</v>
      </c>
      <c r="L2" s="3">
        <v>0</v>
      </c>
      <c r="M2" s="28">
        <v>2</v>
      </c>
      <c r="N2" s="28">
        <v>500</v>
      </c>
    </row>
    <row r="3" spans="1:14" ht="18.75" customHeight="1" x14ac:dyDescent="0.2"/>
    <row r="4" spans="1:14" ht="18.75" customHeight="1" x14ac:dyDescent="0.2"/>
    <row r="5" spans="1:14" ht="18.75" customHeight="1" x14ac:dyDescent="0.2"/>
    <row r="6" spans="1:14" ht="18.75" customHeight="1" x14ac:dyDescent="0.2"/>
    <row r="7" spans="1:14" ht="18.75" customHeight="1" x14ac:dyDescent="0.2">
      <c r="E7" s="7"/>
      <c r="F7" s="7"/>
      <c r="G7" s="8"/>
      <c r="K7" s="8"/>
      <c r="L7" s="6"/>
      <c r="N7" s="7"/>
    </row>
    <row r="8" spans="1:14" ht="18.75" customHeight="1" x14ac:dyDescent="0.2"/>
    <row r="9" spans="1:14" ht="18.75" customHeight="1" x14ac:dyDescent="0.2"/>
    <row r="10" spans="1:14" ht="18.75" customHeight="1" x14ac:dyDescent="0.2"/>
    <row r="11" spans="1:14" ht="18.75" customHeight="1" x14ac:dyDescent="0.2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0.83203125" bestFit="1" customWidth="1"/>
    <col min="2" max="2" width="13.33203125" style="4" bestFit="1" customWidth="1"/>
  </cols>
  <sheetData>
    <row r="1" spans="1:3" ht="18.75" customHeight="1" x14ac:dyDescent="0.2">
      <c r="A1" s="6" t="s">
        <v>10</v>
      </c>
      <c r="B1" s="7" t="s">
        <v>65</v>
      </c>
      <c r="C1" t="s">
        <v>30</v>
      </c>
    </row>
    <row r="2" spans="1:3" ht="18.75" customHeight="1" x14ac:dyDescent="0.2">
      <c r="A2" t="s">
        <v>34</v>
      </c>
      <c r="B2" s="10">
        <v>0.34735402116783071</v>
      </c>
      <c r="C2" t="s">
        <v>66</v>
      </c>
    </row>
    <row r="3" spans="1:3" ht="18.75" customHeight="1" x14ac:dyDescent="0.2">
      <c r="A3" t="s">
        <v>35</v>
      </c>
      <c r="B3" s="3">
        <v>0</v>
      </c>
      <c r="C3" t="s">
        <v>66</v>
      </c>
    </row>
    <row r="4" spans="1:3" x14ac:dyDescent="0.2">
      <c r="A4" t="s">
        <v>54</v>
      </c>
      <c r="B4" s="4">
        <v>0</v>
      </c>
      <c r="C4" t="s">
        <v>66</v>
      </c>
    </row>
    <row r="5" spans="1:3" x14ac:dyDescent="0.2">
      <c r="A5" t="s">
        <v>52</v>
      </c>
      <c r="B5" s="4">
        <v>0</v>
      </c>
      <c r="C5" t="s">
        <v>66</v>
      </c>
    </row>
    <row r="6" spans="1:3" x14ac:dyDescent="0.2">
      <c r="A6" t="s">
        <v>11</v>
      </c>
      <c r="C6" t="s">
        <v>66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959A-48B5-4E78-9ABA-7625B4241542}">
  <dimension ref="A1:C29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9.6640625" style="12" bestFit="1" customWidth="1"/>
    <col min="2" max="2" width="26.1640625" style="12" bestFit="1" customWidth="1"/>
    <col min="3" max="16384" width="8.83203125" style="12"/>
  </cols>
  <sheetData>
    <row r="1" spans="1:3" x14ac:dyDescent="0.2">
      <c r="A1" s="13" t="s">
        <v>41</v>
      </c>
      <c r="B1" s="7" t="s">
        <v>65</v>
      </c>
      <c r="C1" t="s">
        <v>30</v>
      </c>
    </row>
    <row r="2" spans="1:3" x14ac:dyDescent="0.2">
      <c r="A2" s="11">
        <v>2023</v>
      </c>
      <c r="B2" s="12">
        <v>4.4999999999999998E-2</v>
      </c>
      <c r="C2" t="s">
        <v>66</v>
      </c>
    </row>
    <row r="3" spans="1:3" x14ac:dyDescent="0.2">
      <c r="A3" s="11">
        <v>2024</v>
      </c>
      <c r="B3" s="12">
        <v>3.5999999999999997E-2</v>
      </c>
      <c r="C3" t="s">
        <v>66</v>
      </c>
    </row>
    <row r="4" spans="1:3" x14ac:dyDescent="0.2">
      <c r="A4" s="11">
        <v>2025</v>
      </c>
      <c r="B4" s="12">
        <v>2.8799999999999999E-2</v>
      </c>
      <c r="C4" t="s">
        <v>66</v>
      </c>
    </row>
    <row r="5" spans="1:3" x14ac:dyDescent="0.2">
      <c r="A5" s="11">
        <v>2026</v>
      </c>
      <c r="B5" s="12">
        <v>2.3E-2</v>
      </c>
      <c r="C5" t="s">
        <v>66</v>
      </c>
    </row>
    <row r="6" spans="1:3" x14ac:dyDescent="0.2">
      <c r="A6" s="11">
        <v>2027</v>
      </c>
      <c r="B6" s="12">
        <v>1.84E-2</v>
      </c>
      <c r="C6" t="s">
        <v>66</v>
      </c>
    </row>
    <row r="7" spans="1:3" x14ac:dyDescent="0.2">
      <c r="A7" s="11">
        <v>2028</v>
      </c>
      <c r="B7" s="12">
        <v>1.47E-2</v>
      </c>
      <c r="C7" t="s">
        <v>66</v>
      </c>
    </row>
    <row r="8" spans="1:3" x14ac:dyDescent="0.2">
      <c r="A8" s="11">
        <v>2029</v>
      </c>
      <c r="B8" s="12">
        <v>1.18E-2</v>
      </c>
      <c r="C8" t="s">
        <v>66</v>
      </c>
    </row>
    <row r="9" spans="1:3" x14ac:dyDescent="0.2">
      <c r="A9" s="11">
        <v>2030</v>
      </c>
      <c r="B9" s="12">
        <v>9.4000000000000004E-3</v>
      </c>
      <c r="C9" t="s">
        <v>66</v>
      </c>
    </row>
    <row r="10" spans="1:3" x14ac:dyDescent="0.2">
      <c r="A10" s="11">
        <v>2031</v>
      </c>
      <c r="B10" s="12">
        <v>7.4999999999999997E-3</v>
      </c>
      <c r="C10" t="s">
        <v>66</v>
      </c>
    </row>
    <row r="11" spans="1:3" x14ac:dyDescent="0.2">
      <c r="A11" s="11">
        <v>2032</v>
      </c>
      <c r="B11" s="12">
        <v>5.3E-3</v>
      </c>
      <c r="C11" t="s">
        <v>66</v>
      </c>
    </row>
    <row r="12" spans="1:3" x14ac:dyDescent="0.2">
      <c r="A12" s="11">
        <v>2033</v>
      </c>
      <c r="B12" s="12">
        <v>3.7000000000000002E-3</v>
      </c>
      <c r="C12" t="s">
        <v>66</v>
      </c>
    </row>
    <row r="13" spans="1:3" x14ac:dyDescent="0.2">
      <c r="A13" s="11">
        <v>2034</v>
      </c>
      <c r="B13" s="12">
        <v>2.5999999999999999E-3</v>
      </c>
      <c r="C13" t="s">
        <v>66</v>
      </c>
    </row>
    <row r="14" spans="1:3" x14ac:dyDescent="0.2">
      <c r="A14" s="11">
        <v>2035</v>
      </c>
      <c r="B14" s="12">
        <v>1.8E-3</v>
      </c>
      <c r="C14" t="s">
        <v>66</v>
      </c>
    </row>
    <row r="15" spans="1:3" x14ac:dyDescent="0.2">
      <c r="A15" s="11">
        <v>2036</v>
      </c>
      <c r="B15" s="12">
        <v>1.2999999999999999E-3</v>
      </c>
      <c r="C15" t="s">
        <v>66</v>
      </c>
    </row>
    <row r="16" spans="1:3" x14ac:dyDescent="0.2">
      <c r="A16" s="11">
        <v>2037</v>
      </c>
      <c r="B16" s="12">
        <v>8.0000000000000004E-4</v>
      </c>
      <c r="C16" t="s">
        <v>66</v>
      </c>
    </row>
    <row r="17" spans="1:3" x14ac:dyDescent="0.2">
      <c r="A17" s="11">
        <v>2038</v>
      </c>
      <c r="B17" s="12">
        <v>5.0000000000000001E-4</v>
      </c>
      <c r="C17" t="s">
        <v>66</v>
      </c>
    </row>
    <row r="18" spans="1:3" x14ac:dyDescent="0.2">
      <c r="A18" s="11">
        <v>2039</v>
      </c>
      <c r="B18" s="12">
        <v>2.0000000000000001E-4</v>
      </c>
      <c r="C18" t="s">
        <v>66</v>
      </c>
    </row>
    <row r="19" spans="1:3" x14ac:dyDescent="0.2">
      <c r="A19" s="11">
        <v>2040</v>
      </c>
      <c r="B19" s="12">
        <v>1E-4</v>
      </c>
      <c r="C19" t="s">
        <v>66</v>
      </c>
    </row>
    <row r="20" spans="1:3" x14ac:dyDescent="0.2">
      <c r="A20" s="11">
        <v>2041</v>
      </c>
      <c r="B20" s="12">
        <v>0</v>
      </c>
      <c r="C20" t="s">
        <v>66</v>
      </c>
    </row>
    <row r="21" spans="1:3" x14ac:dyDescent="0.2">
      <c r="A21" s="11">
        <v>2042</v>
      </c>
      <c r="B21" s="12">
        <v>0</v>
      </c>
      <c r="C21" t="s">
        <v>66</v>
      </c>
    </row>
    <row r="22" spans="1:3" x14ac:dyDescent="0.2">
      <c r="A22" s="11">
        <v>2043</v>
      </c>
      <c r="B22" s="12">
        <v>0</v>
      </c>
      <c r="C22" t="s">
        <v>66</v>
      </c>
    </row>
    <row r="23" spans="1:3" x14ac:dyDescent="0.2">
      <c r="A23" s="11">
        <v>2044</v>
      </c>
      <c r="B23" s="12">
        <v>0</v>
      </c>
      <c r="C23" t="s">
        <v>66</v>
      </c>
    </row>
    <row r="24" spans="1:3" x14ac:dyDescent="0.2">
      <c r="A24" s="11">
        <v>2045</v>
      </c>
      <c r="B24" s="12">
        <v>0</v>
      </c>
      <c r="C24" t="s">
        <v>66</v>
      </c>
    </row>
    <row r="25" spans="1:3" x14ac:dyDescent="0.2">
      <c r="A25" s="11">
        <v>2046</v>
      </c>
      <c r="B25" s="12">
        <v>0</v>
      </c>
      <c r="C25" t="s">
        <v>66</v>
      </c>
    </row>
    <row r="26" spans="1:3" x14ac:dyDescent="0.2">
      <c r="A26" s="11">
        <v>2047</v>
      </c>
      <c r="B26" s="12">
        <v>0</v>
      </c>
      <c r="C26" t="s">
        <v>66</v>
      </c>
    </row>
    <row r="27" spans="1:3" x14ac:dyDescent="0.2">
      <c r="A27" s="11">
        <v>2048</v>
      </c>
      <c r="B27" s="12">
        <v>0</v>
      </c>
      <c r="C27" t="s">
        <v>66</v>
      </c>
    </row>
    <row r="28" spans="1:3" x14ac:dyDescent="0.2">
      <c r="A28" s="11">
        <v>2049</v>
      </c>
      <c r="B28" s="12">
        <v>0</v>
      </c>
      <c r="C28" t="s">
        <v>66</v>
      </c>
    </row>
    <row r="29" spans="1:3" x14ac:dyDescent="0.2">
      <c r="A29" s="11">
        <v>2050</v>
      </c>
      <c r="B29" s="12">
        <v>0</v>
      </c>
      <c r="C29" t="s">
        <v>66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23C0-40CD-474E-8EE1-DF88A4494E55}">
  <dimension ref="A1:D181"/>
  <sheetViews>
    <sheetView topLeftCell="A147" workbookViewId="0">
      <selection activeCell="G162" sqref="G162"/>
    </sheetView>
  </sheetViews>
  <sheetFormatPr baseColWidth="10" defaultRowHeight="15" x14ac:dyDescent="0.2"/>
  <cols>
    <col min="1" max="1" width="23.5" bestFit="1" customWidth="1"/>
    <col min="2" max="2" width="11.6640625" bestFit="1" customWidth="1"/>
  </cols>
  <sheetData>
    <row r="1" spans="1:4" ht="16" thickBot="1" x14ac:dyDescent="0.25">
      <c r="A1" s="31" t="s">
        <v>17</v>
      </c>
      <c r="B1" s="31" t="s">
        <v>90</v>
      </c>
      <c r="C1" s="31" t="s">
        <v>89</v>
      </c>
      <c r="D1" s="31" t="s">
        <v>41</v>
      </c>
    </row>
    <row r="2" spans="1:4" ht="16" thickTop="1" x14ac:dyDescent="0.2">
      <c r="A2" s="17" t="s">
        <v>33</v>
      </c>
      <c r="B2" s="32">
        <v>0.9</v>
      </c>
      <c r="C2" s="33" t="s">
        <v>83</v>
      </c>
      <c r="D2" s="33">
        <v>2025</v>
      </c>
    </row>
    <row r="3" spans="1:4" x14ac:dyDescent="0.2">
      <c r="A3" s="17" t="s">
        <v>33</v>
      </c>
      <c r="B3" s="35">
        <v>0.9</v>
      </c>
      <c r="C3" s="17" t="s">
        <v>83</v>
      </c>
      <c r="D3" s="33">
        <v>2030</v>
      </c>
    </row>
    <row r="4" spans="1:4" x14ac:dyDescent="0.2">
      <c r="A4" s="17" t="s">
        <v>33</v>
      </c>
      <c r="B4" s="35">
        <v>0.9</v>
      </c>
      <c r="C4" s="39" t="s">
        <v>83</v>
      </c>
      <c r="D4" s="33">
        <v>2035</v>
      </c>
    </row>
    <row r="5" spans="1:4" x14ac:dyDescent="0.2">
      <c r="A5" s="17" t="s">
        <v>33</v>
      </c>
      <c r="B5" s="35">
        <v>0.9</v>
      </c>
      <c r="C5" s="41" t="s">
        <v>83</v>
      </c>
      <c r="D5" s="33">
        <v>2040</v>
      </c>
    </row>
    <row r="6" spans="1:4" x14ac:dyDescent="0.2">
      <c r="A6" s="17" t="s">
        <v>33</v>
      </c>
      <c r="B6" s="35">
        <v>0.9</v>
      </c>
      <c r="C6" s="39" t="s">
        <v>83</v>
      </c>
      <c r="D6" s="33">
        <v>2045</v>
      </c>
    </row>
    <row r="7" spans="1:4" x14ac:dyDescent="0.2">
      <c r="A7" s="17" t="s">
        <v>33</v>
      </c>
      <c r="B7" s="35">
        <v>0.9</v>
      </c>
      <c r="C7" s="41" t="s">
        <v>83</v>
      </c>
      <c r="D7" s="33">
        <v>2050</v>
      </c>
    </row>
    <row r="8" spans="1:4" x14ac:dyDescent="0.2">
      <c r="A8" s="17" t="s">
        <v>46</v>
      </c>
      <c r="B8" s="35">
        <v>0.8</v>
      </c>
      <c r="C8" s="36" t="s">
        <v>83</v>
      </c>
      <c r="D8" s="33">
        <v>2025</v>
      </c>
    </row>
    <row r="9" spans="1:4" x14ac:dyDescent="0.2">
      <c r="A9" s="17" t="s">
        <v>46</v>
      </c>
      <c r="B9" s="35">
        <v>0.8</v>
      </c>
      <c r="C9" s="41" t="s">
        <v>83</v>
      </c>
      <c r="D9" s="33">
        <v>2030</v>
      </c>
    </row>
    <row r="10" spans="1:4" x14ac:dyDescent="0.2">
      <c r="A10" s="17" t="s">
        <v>46</v>
      </c>
      <c r="B10" s="35">
        <v>0.8</v>
      </c>
      <c r="C10" s="39" t="s">
        <v>83</v>
      </c>
      <c r="D10" s="33">
        <v>2035</v>
      </c>
    </row>
    <row r="11" spans="1:4" x14ac:dyDescent="0.2">
      <c r="A11" s="16" t="s">
        <v>46</v>
      </c>
      <c r="B11" s="35">
        <v>0.8</v>
      </c>
      <c r="C11" s="41" t="s">
        <v>83</v>
      </c>
      <c r="D11" s="33">
        <v>2040</v>
      </c>
    </row>
    <row r="12" spans="1:4" x14ac:dyDescent="0.2">
      <c r="A12" s="17" t="s">
        <v>46</v>
      </c>
      <c r="B12" s="46">
        <v>0.8</v>
      </c>
      <c r="C12" s="39" t="s">
        <v>83</v>
      </c>
      <c r="D12" s="33">
        <v>2045</v>
      </c>
    </row>
    <row r="13" spans="1:4" x14ac:dyDescent="0.2">
      <c r="A13" s="17" t="s">
        <v>46</v>
      </c>
      <c r="B13" s="46">
        <v>0.8</v>
      </c>
      <c r="C13" s="41" t="s">
        <v>83</v>
      </c>
      <c r="D13" s="33">
        <v>2050</v>
      </c>
    </row>
    <row r="14" spans="1:4" x14ac:dyDescent="0.2">
      <c r="A14" s="17" t="s">
        <v>48</v>
      </c>
      <c r="B14" s="50">
        <v>0.7</v>
      </c>
      <c r="C14" s="36" t="s">
        <v>83</v>
      </c>
      <c r="D14" s="33">
        <v>2025</v>
      </c>
    </row>
    <row r="15" spans="1:4" x14ac:dyDescent="0.2">
      <c r="A15" s="17" t="s">
        <v>48</v>
      </c>
      <c r="B15" s="50">
        <v>0.7</v>
      </c>
      <c r="C15" s="41" t="s">
        <v>83</v>
      </c>
      <c r="D15" s="33">
        <v>2030</v>
      </c>
    </row>
    <row r="16" spans="1:4" x14ac:dyDescent="0.2">
      <c r="A16" s="17" t="s">
        <v>48</v>
      </c>
      <c r="B16" s="50">
        <v>0.7</v>
      </c>
      <c r="C16" s="39" t="s">
        <v>83</v>
      </c>
      <c r="D16" s="33">
        <v>2035</v>
      </c>
    </row>
    <row r="17" spans="1:4" x14ac:dyDescent="0.2">
      <c r="A17" s="17" t="s">
        <v>48</v>
      </c>
      <c r="B17" s="45">
        <v>0.7</v>
      </c>
      <c r="C17" s="41" t="s">
        <v>83</v>
      </c>
      <c r="D17" s="33">
        <v>2040</v>
      </c>
    </row>
    <row r="18" spans="1:4" x14ac:dyDescent="0.2">
      <c r="A18" s="17" t="s">
        <v>48</v>
      </c>
      <c r="B18" s="45">
        <v>0.7</v>
      </c>
      <c r="C18" s="39" t="s">
        <v>83</v>
      </c>
      <c r="D18" s="33">
        <v>2045</v>
      </c>
    </row>
    <row r="19" spans="1:4" x14ac:dyDescent="0.2">
      <c r="A19" s="17" t="s">
        <v>48</v>
      </c>
      <c r="B19" s="45">
        <v>0.7</v>
      </c>
      <c r="C19" s="41" t="s">
        <v>83</v>
      </c>
      <c r="D19" s="33">
        <v>2050</v>
      </c>
    </row>
    <row r="20" spans="1:4" x14ac:dyDescent="0.2">
      <c r="A20" s="17" t="s">
        <v>53</v>
      </c>
      <c r="B20" s="46">
        <v>2.9845833333333331</v>
      </c>
      <c r="C20" s="36" t="s">
        <v>83</v>
      </c>
      <c r="D20" s="33">
        <v>2025</v>
      </c>
    </row>
    <row r="21" spans="1:4" x14ac:dyDescent="0.2">
      <c r="A21" s="16" t="s">
        <v>53</v>
      </c>
      <c r="B21" s="46">
        <v>2.9845833333333331</v>
      </c>
      <c r="C21" s="41" t="s">
        <v>83</v>
      </c>
      <c r="D21" s="33">
        <v>2030</v>
      </c>
    </row>
    <row r="22" spans="1:4" x14ac:dyDescent="0.2">
      <c r="A22" s="17" t="s">
        <v>53</v>
      </c>
      <c r="B22" s="35">
        <v>2.9845833333333331</v>
      </c>
      <c r="C22" s="17" t="s">
        <v>83</v>
      </c>
      <c r="D22" s="17">
        <v>2035</v>
      </c>
    </row>
    <row r="23" spans="1:4" x14ac:dyDescent="0.2">
      <c r="A23" s="17" t="s">
        <v>53</v>
      </c>
      <c r="B23" s="35">
        <v>2.9845833333333331</v>
      </c>
      <c r="C23" s="17" t="s">
        <v>83</v>
      </c>
      <c r="D23" s="17">
        <v>2040</v>
      </c>
    </row>
    <row r="24" spans="1:4" x14ac:dyDescent="0.2">
      <c r="A24" s="17" t="s">
        <v>53</v>
      </c>
      <c r="B24" s="35">
        <v>2.9845833333333331</v>
      </c>
      <c r="C24" s="17" t="s">
        <v>83</v>
      </c>
      <c r="D24" s="17">
        <v>2045</v>
      </c>
    </row>
    <row r="25" spans="1:4" x14ac:dyDescent="0.2">
      <c r="A25" s="17" t="s">
        <v>53</v>
      </c>
      <c r="B25" s="35">
        <v>2.9845833333333331</v>
      </c>
      <c r="C25" s="17" t="s">
        <v>83</v>
      </c>
      <c r="D25" s="17">
        <v>2050</v>
      </c>
    </row>
    <row r="26" spans="1:4" x14ac:dyDescent="0.2">
      <c r="A26" s="17" t="s">
        <v>47</v>
      </c>
      <c r="B26" s="37">
        <v>0.98</v>
      </c>
      <c r="C26" s="40" t="s">
        <v>83</v>
      </c>
      <c r="D26" s="17">
        <v>2025</v>
      </c>
    </row>
    <row r="27" spans="1:4" x14ac:dyDescent="0.2">
      <c r="A27" s="17" t="s">
        <v>47</v>
      </c>
      <c r="B27" s="37">
        <v>0.98</v>
      </c>
      <c r="C27" s="17" t="s">
        <v>83</v>
      </c>
      <c r="D27" s="17">
        <v>2030</v>
      </c>
    </row>
    <row r="28" spans="1:4" x14ac:dyDescent="0.2">
      <c r="A28" s="17" t="s">
        <v>47</v>
      </c>
      <c r="B28" s="37">
        <v>0.98</v>
      </c>
      <c r="C28" s="17" t="s">
        <v>83</v>
      </c>
      <c r="D28" s="17">
        <v>2035</v>
      </c>
    </row>
    <row r="29" spans="1:4" x14ac:dyDescent="0.2">
      <c r="A29" s="17" t="s">
        <v>47</v>
      </c>
      <c r="B29" s="37">
        <v>0.98</v>
      </c>
      <c r="C29" s="17" t="s">
        <v>83</v>
      </c>
      <c r="D29" s="17">
        <v>2040</v>
      </c>
    </row>
    <row r="30" spans="1:4" x14ac:dyDescent="0.2">
      <c r="A30" s="17" t="s">
        <v>47</v>
      </c>
      <c r="B30" s="37">
        <v>0.98</v>
      </c>
      <c r="C30" s="17" t="s">
        <v>83</v>
      </c>
      <c r="D30" s="17">
        <v>2045</v>
      </c>
    </row>
    <row r="31" spans="1:4" x14ac:dyDescent="0.2">
      <c r="A31" s="17" t="s">
        <v>47</v>
      </c>
      <c r="B31" s="37">
        <v>0.98</v>
      </c>
      <c r="C31" s="17" t="s">
        <v>83</v>
      </c>
      <c r="D31" s="17">
        <v>2050</v>
      </c>
    </row>
    <row r="32" spans="1:4" x14ac:dyDescent="0.2">
      <c r="A32" s="17" t="s">
        <v>51</v>
      </c>
      <c r="B32" s="42">
        <f>(0.5)*(80+273.15+5)/(80-5+10)</f>
        <v>2.1067647058823527</v>
      </c>
      <c r="C32" s="40" t="s">
        <v>83</v>
      </c>
      <c r="D32" s="17">
        <v>2025</v>
      </c>
    </row>
    <row r="33" spans="1:4" x14ac:dyDescent="0.2">
      <c r="A33" s="17" t="s">
        <v>51</v>
      </c>
      <c r="B33" s="42">
        <f>(0.5)*(80+273.15+5)/(80-5+10)</f>
        <v>2.1067647058823527</v>
      </c>
      <c r="C33" s="17" t="s">
        <v>83</v>
      </c>
      <c r="D33" s="17">
        <v>2030</v>
      </c>
    </row>
    <row r="34" spans="1:4" x14ac:dyDescent="0.2">
      <c r="A34" s="17" t="s">
        <v>51</v>
      </c>
      <c r="B34" s="42">
        <f>(0.5)*(80+273.15+5)/(80-5+10)</f>
        <v>2.1067647058823527</v>
      </c>
      <c r="C34" s="17" t="s">
        <v>83</v>
      </c>
      <c r="D34" s="17">
        <v>2035</v>
      </c>
    </row>
    <row r="35" spans="1:4" x14ac:dyDescent="0.2">
      <c r="A35" s="17" t="s">
        <v>51</v>
      </c>
      <c r="B35" s="42">
        <f>(0.5)*(80+273.15+5)/(80-5+10)</f>
        <v>2.1067647058823527</v>
      </c>
      <c r="C35" s="17" t="s">
        <v>83</v>
      </c>
      <c r="D35" s="17">
        <v>2040</v>
      </c>
    </row>
    <row r="36" spans="1:4" x14ac:dyDescent="0.2">
      <c r="A36" s="17" t="s">
        <v>51</v>
      </c>
      <c r="B36" s="42">
        <f>(0.5)*(80+273.15+5)/(80-5+10)</f>
        <v>2.1067647058823527</v>
      </c>
      <c r="C36" s="17" t="s">
        <v>83</v>
      </c>
      <c r="D36" s="17">
        <v>2045</v>
      </c>
    </row>
    <row r="37" spans="1:4" x14ac:dyDescent="0.2">
      <c r="A37" s="17" t="s">
        <v>51</v>
      </c>
      <c r="B37" s="42">
        <f>(0.5)*(80+273.15+5)/(80-5+10)</f>
        <v>2.1067647058823527</v>
      </c>
      <c r="C37" s="17" t="s">
        <v>83</v>
      </c>
      <c r="D37" s="17">
        <v>2050</v>
      </c>
    </row>
    <row r="38" spans="1:4" x14ac:dyDescent="0.2">
      <c r="A38" s="17" t="s">
        <v>45</v>
      </c>
      <c r="B38" s="42">
        <v>2.2384374999999999</v>
      </c>
      <c r="C38" s="40" t="s">
        <v>83</v>
      </c>
      <c r="D38" s="17">
        <v>2025</v>
      </c>
    </row>
    <row r="39" spans="1:4" x14ac:dyDescent="0.2">
      <c r="A39" s="17" t="s">
        <v>45</v>
      </c>
      <c r="B39" s="42">
        <v>2.2384374999999999</v>
      </c>
      <c r="C39" s="17" t="s">
        <v>83</v>
      </c>
      <c r="D39" s="17">
        <v>2030</v>
      </c>
    </row>
    <row r="40" spans="1:4" x14ac:dyDescent="0.2">
      <c r="A40" s="17" t="s">
        <v>45</v>
      </c>
      <c r="B40" s="42">
        <v>2.2384374999999999</v>
      </c>
      <c r="C40" s="17" t="s">
        <v>83</v>
      </c>
      <c r="D40" s="17">
        <v>2035</v>
      </c>
    </row>
    <row r="41" spans="1:4" x14ac:dyDescent="0.2">
      <c r="A41" s="16" t="s">
        <v>45</v>
      </c>
      <c r="B41" s="42">
        <v>2.2384374999999999</v>
      </c>
      <c r="C41" s="16" t="s">
        <v>83</v>
      </c>
      <c r="D41" s="17">
        <v>2040</v>
      </c>
    </row>
    <row r="42" spans="1:4" x14ac:dyDescent="0.2">
      <c r="A42" s="17" t="s">
        <v>45</v>
      </c>
      <c r="B42" s="42">
        <v>2.2384374999999999</v>
      </c>
      <c r="C42" s="17" t="s">
        <v>83</v>
      </c>
      <c r="D42" s="17">
        <v>2045</v>
      </c>
    </row>
    <row r="43" spans="1:4" x14ac:dyDescent="0.2">
      <c r="A43" s="17" t="s">
        <v>45</v>
      </c>
      <c r="B43" s="42">
        <v>2.2384374999999999</v>
      </c>
      <c r="C43" s="17" t="s">
        <v>83</v>
      </c>
      <c r="D43" s="17">
        <v>2050</v>
      </c>
    </row>
    <row r="44" spans="1:4" x14ac:dyDescent="0.2">
      <c r="A44" s="17" t="s">
        <v>32</v>
      </c>
      <c r="B44" s="42">
        <v>0.81120000000000003</v>
      </c>
      <c r="C44" s="40" t="s">
        <v>83</v>
      </c>
      <c r="D44" s="17">
        <v>2025</v>
      </c>
    </row>
    <row r="45" spans="1:4" x14ac:dyDescent="0.2">
      <c r="A45" s="17" t="s">
        <v>32</v>
      </c>
      <c r="B45" s="42">
        <v>0.63560000000000005</v>
      </c>
      <c r="C45" s="17" t="s">
        <v>83</v>
      </c>
      <c r="D45" s="17">
        <v>2030</v>
      </c>
    </row>
    <row r="46" spans="1:4" x14ac:dyDescent="0.2">
      <c r="A46" s="17" t="s">
        <v>32</v>
      </c>
      <c r="B46" s="42">
        <v>0.58440000000000003</v>
      </c>
      <c r="C46" s="17" t="s">
        <v>83</v>
      </c>
      <c r="D46" s="17">
        <v>2035</v>
      </c>
    </row>
    <row r="47" spans="1:4" x14ac:dyDescent="0.2">
      <c r="A47" s="17" t="s">
        <v>32</v>
      </c>
      <c r="B47" s="42">
        <v>0.53320000000000001</v>
      </c>
      <c r="C47" s="17" t="s">
        <v>83</v>
      </c>
      <c r="D47" s="17">
        <v>2040</v>
      </c>
    </row>
    <row r="48" spans="1:4" x14ac:dyDescent="0.2">
      <c r="A48" s="17" t="s">
        <v>32</v>
      </c>
      <c r="B48" s="42">
        <v>0.51544999999999996</v>
      </c>
      <c r="C48" s="17" t="s">
        <v>83</v>
      </c>
      <c r="D48" s="17">
        <v>2045</v>
      </c>
    </row>
    <row r="49" spans="1:4" x14ac:dyDescent="0.2">
      <c r="A49" s="17" t="s">
        <v>32</v>
      </c>
      <c r="B49" s="42">
        <v>0.49769999999999998</v>
      </c>
      <c r="C49" s="17" t="s">
        <v>83</v>
      </c>
      <c r="D49" s="17">
        <v>2050</v>
      </c>
    </row>
    <row r="50" spans="1:4" x14ac:dyDescent="0.2">
      <c r="A50" s="17" t="s">
        <v>50</v>
      </c>
      <c r="B50" s="42">
        <v>2.4871527777777778</v>
      </c>
      <c r="C50" s="40" t="s">
        <v>83</v>
      </c>
      <c r="D50" s="17">
        <v>2025</v>
      </c>
    </row>
    <row r="51" spans="1:4" x14ac:dyDescent="0.2">
      <c r="A51" s="17" t="s">
        <v>50</v>
      </c>
      <c r="B51" s="42">
        <v>2.4871527777777778</v>
      </c>
      <c r="C51" s="17" t="s">
        <v>83</v>
      </c>
      <c r="D51" s="17">
        <v>2030</v>
      </c>
    </row>
    <row r="52" spans="1:4" x14ac:dyDescent="0.2">
      <c r="A52" s="17" t="s">
        <v>50</v>
      </c>
      <c r="B52" s="42">
        <v>2.4871527777777778</v>
      </c>
      <c r="C52" s="17" t="s">
        <v>83</v>
      </c>
      <c r="D52" s="17">
        <v>2035</v>
      </c>
    </row>
    <row r="53" spans="1:4" x14ac:dyDescent="0.2">
      <c r="A53" s="17" t="s">
        <v>50</v>
      </c>
      <c r="B53" s="42">
        <v>2.4871527777777778</v>
      </c>
      <c r="C53" s="17" t="s">
        <v>83</v>
      </c>
      <c r="D53" s="17">
        <v>2040</v>
      </c>
    </row>
    <row r="54" spans="1:4" x14ac:dyDescent="0.2">
      <c r="A54" s="17" t="s">
        <v>50</v>
      </c>
      <c r="B54" s="42">
        <v>2.4871527777777778</v>
      </c>
      <c r="C54" s="17" t="s">
        <v>83</v>
      </c>
      <c r="D54" s="17">
        <v>2045</v>
      </c>
    </row>
    <row r="55" spans="1:4" x14ac:dyDescent="0.2">
      <c r="A55" s="17" t="s">
        <v>50</v>
      </c>
      <c r="B55" s="42">
        <v>2.4871527777777778</v>
      </c>
      <c r="C55" s="17" t="s">
        <v>83</v>
      </c>
      <c r="D55" s="17">
        <v>2050</v>
      </c>
    </row>
    <row r="56" spans="1:4" x14ac:dyDescent="0.2">
      <c r="A56" s="17" t="s">
        <v>49</v>
      </c>
      <c r="B56" s="17">
        <v>0.8</v>
      </c>
      <c r="C56" s="40" t="s">
        <v>83</v>
      </c>
      <c r="D56" s="17">
        <v>2025</v>
      </c>
    </row>
    <row r="57" spans="1:4" x14ac:dyDescent="0.2">
      <c r="A57" s="17" t="s">
        <v>49</v>
      </c>
      <c r="B57" s="17">
        <v>0.8</v>
      </c>
      <c r="C57" s="17" t="s">
        <v>83</v>
      </c>
      <c r="D57" s="17">
        <v>2030</v>
      </c>
    </row>
    <row r="58" spans="1:4" x14ac:dyDescent="0.2">
      <c r="A58" s="17" t="s">
        <v>49</v>
      </c>
      <c r="B58" s="17">
        <v>0.8</v>
      </c>
      <c r="C58" s="17" t="s">
        <v>83</v>
      </c>
      <c r="D58" s="17">
        <v>2035</v>
      </c>
    </row>
    <row r="59" spans="1:4" x14ac:dyDescent="0.2">
      <c r="A59" s="17" t="s">
        <v>49</v>
      </c>
      <c r="B59" s="17">
        <v>0.8</v>
      </c>
      <c r="C59" s="17" t="s">
        <v>83</v>
      </c>
      <c r="D59" s="17">
        <v>2040</v>
      </c>
    </row>
    <row r="60" spans="1:4" x14ac:dyDescent="0.2">
      <c r="A60" s="17" t="s">
        <v>49</v>
      </c>
      <c r="B60" s="17">
        <v>0.8</v>
      </c>
      <c r="C60" s="17" t="s">
        <v>83</v>
      </c>
      <c r="D60" s="17">
        <v>2045</v>
      </c>
    </row>
    <row r="61" spans="1:4" x14ac:dyDescent="0.2">
      <c r="A61" s="16" t="s">
        <v>49</v>
      </c>
      <c r="B61" s="16">
        <v>0.8</v>
      </c>
      <c r="C61" s="16" t="s">
        <v>83</v>
      </c>
      <c r="D61" s="17">
        <v>2050</v>
      </c>
    </row>
    <row r="62" spans="1:4" x14ac:dyDescent="0.2">
      <c r="A62" s="17" t="s">
        <v>33</v>
      </c>
      <c r="B62" s="49">
        <v>0.9</v>
      </c>
      <c r="C62" s="17" t="s">
        <v>84</v>
      </c>
      <c r="D62" s="17">
        <v>2025</v>
      </c>
    </row>
    <row r="63" spans="1:4" x14ac:dyDescent="0.2">
      <c r="A63" s="17" t="s">
        <v>33</v>
      </c>
      <c r="B63" s="46">
        <v>0.9</v>
      </c>
      <c r="C63" s="17" t="s">
        <v>84</v>
      </c>
      <c r="D63" s="17">
        <v>2030</v>
      </c>
    </row>
    <row r="64" spans="1:4" x14ac:dyDescent="0.2">
      <c r="A64" s="17" t="s">
        <v>33</v>
      </c>
      <c r="B64" s="46">
        <v>0.9</v>
      </c>
      <c r="C64" s="17" t="s">
        <v>84</v>
      </c>
      <c r="D64" s="17">
        <v>2035</v>
      </c>
    </row>
    <row r="65" spans="1:4" x14ac:dyDescent="0.2">
      <c r="A65" s="17" t="s">
        <v>33</v>
      </c>
      <c r="B65" s="46">
        <v>0.9</v>
      </c>
      <c r="C65" s="17" t="s">
        <v>84</v>
      </c>
      <c r="D65" s="17">
        <v>2040</v>
      </c>
    </row>
    <row r="66" spans="1:4" x14ac:dyDescent="0.2">
      <c r="A66" s="17" t="s">
        <v>33</v>
      </c>
      <c r="B66" s="46">
        <v>0.9</v>
      </c>
      <c r="C66" s="17" t="s">
        <v>84</v>
      </c>
      <c r="D66" s="17">
        <v>2045</v>
      </c>
    </row>
    <row r="67" spans="1:4" x14ac:dyDescent="0.2">
      <c r="A67" s="17" t="s">
        <v>33</v>
      </c>
      <c r="B67" s="1">
        <v>0.9</v>
      </c>
      <c r="C67" s="17" t="s">
        <v>84</v>
      </c>
      <c r="D67" s="17">
        <v>2050</v>
      </c>
    </row>
    <row r="68" spans="1:4" x14ac:dyDescent="0.2">
      <c r="A68" s="17" t="s">
        <v>46</v>
      </c>
      <c r="B68" s="38">
        <v>0.8</v>
      </c>
      <c r="C68" s="40" t="s">
        <v>84</v>
      </c>
      <c r="D68" s="17">
        <v>2025</v>
      </c>
    </row>
    <row r="69" spans="1:4" x14ac:dyDescent="0.2">
      <c r="A69" s="17" t="s">
        <v>46</v>
      </c>
      <c r="B69" s="46">
        <v>0.8</v>
      </c>
      <c r="C69" s="17" t="s">
        <v>84</v>
      </c>
      <c r="D69" s="17">
        <v>2030</v>
      </c>
    </row>
    <row r="70" spans="1:4" x14ac:dyDescent="0.2">
      <c r="A70" s="17" t="s">
        <v>46</v>
      </c>
      <c r="B70" s="46">
        <v>0.8</v>
      </c>
      <c r="C70" s="17" t="s">
        <v>84</v>
      </c>
      <c r="D70" s="17">
        <v>2035</v>
      </c>
    </row>
    <row r="71" spans="1:4" x14ac:dyDescent="0.2">
      <c r="A71" s="17" t="s">
        <v>46</v>
      </c>
      <c r="B71" s="1">
        <v>0.8</v>
      </c>
      <c r="C71" s="17" t="s">
        <v>84</v>
      </c>
      <c r="D71" s="17">
        <v>2040</v>
      </c>
    </row>
    <row r="72" spans="1:4" x14ac:dyDescent="0.2">
      <c r="A72" s="17" t="s">
        <v>46</v>
      </c>
      <c r="B72" s="46">
        <v>0.8</v>
      </c>
      <c r="C72" s="17" t="s">
        <v>84</v>
      </c>
      <c r="D72" s="17">
        <v>2045</v>
      </c>
    </row>
    <row r="73" spans="1:4" x14ac:dyDescent="0.2">
      <c r="A73" s="17" t="s">
        <v>46</v>
      </c>
      <c r="B73" s="46">
        <v>0.8</v>
      </c>
      <c r="C73" s="17" t="s">
        <v>84</v>
      </c>
      <c r="D73" s="17">
        <v>2050</v>
      </c>
    </row>
    <row r="74" spans="1:4" x14ac:dyDescent="0.2">
      <c r="A74" s="17" t="s">
        <v>48</v>
      </c>
      <c r="B74" s="17">
        <v>0.7</v>
      </c>
      <c r="C74" s="40" t="s">
        <v>84</v>
      </c>
      <c r="D74" s="17">
        <v>2025</v>
      </c>
    </row>
    <row r="75" spans="1:4" x14ac:dyDescent="0.2">
      <c r="A75" s="17" t="s">
        <v>48</v>
      </c>
      <c r="B75" s="17">
        <v>0.7</v>
      </c>
      <c r="C75" s="17" t="s">
        <v>84</v>
      </c>
      <c r="D75" s="17">
        <v>2030</v>
      </c>
    </row>
    <row r="76" spans="1:4" x14ac:dyDescent="0.2">
      <c r="A76" s="17" t="s">
        <v>48</v>
      </c>
      <c r="B76" s="17">
        <v>0.7</v>
      </c>
      <c r="C76" s="17" t="s">
        <v>84</v>
      </c>
      <c r="D76" s="17">
        <v>2035</v>
      </c>
    </row>
    <row r="77" spans="1:4" x14ac:dyDescent="0.2">
      <c r="A77" s="17" t="s">
        <v>48</v>
      </c>
      <c r="B77" s="17">
        <v>0.7</v>
      </c>
      <c r="C77" s="17" t="s">
        <v>84</v>
      </c>
      <c r="D77" s="17">
        <v>2040</v>
      </c>
    </row>
    <row r="78" spans="1:4" x14ac:dyDescent="0.2">
      <c r="A78" s="17" t="s">
        <v>48</v>
      </c>
      <c r="B78" s="17">
        <v>0.7</v>
      </c>
      <c r="C78" s="17" t="s">
        <v>84</v>
      </c>
      <c r="D78" s="17">
        <v>2045</v>
      </c>
    </row>
    <row r="79" spans="1:4" x14ac:dyDescent="0.2">
      <c r="A79" s="17" t="s">
        <v>48</v>
      </c>
      <c r="B79" s="17">
        <v>0.7</v>
      </c>
      <c r="C79" s="17" t="s">
        <v>84</v>
      </c>
      <c r="D79" s="17">
        <v>2050</v>
      </c>
    </row>
    <row r="80" spans="1:4" x14ac:dyDescent="0.2">
      <c r="A80" s="17" t="s">
        <v>53</v>
      </c>
      <c r="B80" s="34">
        <v>4.2268749999999997</v>
      </c>
      <c r="C80" s="40" t="s">
        <v>84</v>
      </c>
      <c r="D80" s="17">
        <v>2025</v>
      </c>
    </row>
    <row r="81" spans="1:4" x14ac:dyDescent="0.2">
      <c r="A81" s="16" t="s">
        <v>53</v>
      </c>
      <c r="B81" s="34">
        <v>4.2268749999999997</v>
      </c>
      <c r="C81" s="16" t="s">
        <v>84</v>
      </c>
      <c r="D81" s="17">
        <v>2030</v>
      </c>
    </row>
    <row r="82" spans="1:4" x14ac:dyDescent="0.2">
      <c r="A82" s="17" t="s">
        <v>53</v>
      </c>
      <c r="B82" s="34">
        <v>4.2268749999999997</v>
      </c>
      <c r="C82" s="17" t="s">
        <v>84</v>
      </c>
      <c r="D82" s="17">
        <v>2035</v>
      </c>
    </row>
    <row r="83" spans="1:4" x14ac:dyDescent="0.2">
      <c r="A83" s="17" t="s">
        <v>53</v>
      </c>
      <c r="B83" s="34">
        <v>4.2268749999999997</v>
      </c>
      <c r="C83" s="17" t="s">
        <v>84</v>
      </c>
      <c r="D83" s="17">
        <v>2040</v>
      </c>
    </row>
    <row r="84" spans="1:4" x14ac:dyDescent="0.2">
      <c r="A84" s="17" t="s">
        <v>53</v>
      </c>
      <c r="B84" s="34">
        <v>4.2268749999999997</v>
      </c>
      <c r="C84" s="17" t="s">
        <v>84</v>
      </c>
      <c r="D84" s="17">
        <v>2045</v>
      </c>
    </row>
    <row r="85" spans="1:4" x14ac:dyDescent="0.2">
      <c r="A85" s="17" t="s">
        <v>53</v>
      </c>
      <c r="B85" s="34">
        <v>4.2268749999999997</v>
      </c>
      <c r="C85" s="17" t="s">
        <v>84</v>
      </c>
      <c r="D85" s="17">
        <v>2050</v>
      </c>
    </row>
    <row r="86" spans="1:4" x14ac:dyDescent="0.2">
      <c r="A86" s="17" t="s">
        <v>47</v>
      </c>
      <c r="B86" s="48">
        <v>0.98</v>
      </c>
      <c r="C86" s="40" t="s">
        <v>84</v>
      </c>
      <c r="D86" s="17">
        <v>2025</v>
      </c>
    </row>
    <row r="87" spans="1:4" x14ac:dyDescent="0.2">
      <c r="A87" s="17" t="s">
        <v>47</v>
      </c>
      <c r="B87" s="48">
        <v>0.98</v>
      </c>
      <c r="C87" s="17" t="s">
        <v>84</v>
      </c>
      <c r="D87" s="17">
        <v>2030</v>
      </c>
    </row>
    <row r="88" spans="1:4" x14ac:dyDescent="0.2">
      <c r="A88" s="17" t="s">
        <v>47</v>
      </c>
      <c r="B88" s="48">
        <v>0.98</v>
      </c>
      <c r="C88" s="17" t="s">
        <v>84</v>
      </c>
      <c r="D88" s="17">
        <v>2035</v>
      </c>
    </row>
    <row r="89" spans="1:4" x14ac:dyDescent="0.2">
      <c r="A89" s="17" t="s">
        <v>47</v>
      </c>
      <c r="B89" s="48">
        <v>0.98</v>
      </c>
      <c r="C89" s="17" t="s">
        <v>84</v>
      </c>
      <c r="D89" s="17">
        <v>2040</v>
      </c>
    </row>
    <row r="90" spans="1:4" x14ac:dyDescent="0.2">
      <c r="A90" s="17" t="s">
        <v>47</v>
      </c>
      <c r="B90" s="37">
        <v>0.98</v>
      </c>
      <c r="C90" s="17" t="s">
        <v>84</v>
      </c>
      <c r="D90" s="17">
        <v>2045</v>
      </c>
    </row>
    <row r="91" spans="1:4" x14ac:dyDescent="0.2">
      <c r="A91" s="17" t="s">
        <v>47</v>
      </c>
      <c r="B91" s="37">
        <v>0.98</v>
      </c>
      <c r="C91" s="17" t="s">
        <v>84</v>
      </c>
      <c r="D91" s="17">
        <v>2050</v>
      </c>
    </row>
    <row r="92" spans="1:4" x14ac:dyDescent="0.2">
      <c r="A92" s="17" t="s">
        <v>51</v>
      </c>
      <c r="B92" s="10">
        <f>(0.5)*(60+273.15+5)/(60-5+10)</f>
        <v>2.6011538461538461</v>
      </c>
      <c r="C92" s="40" t="s">
        <v>84</v>
      </c>
      <c r="D92" s="17">
        <v>2025</v>
      </c>
    </row>
    <row r="93" spans="1:4" x14ac:dyDescent="0.2">
      <c r="A93" s="17" t="s">
        <v>51</v>
      </c>
      <c r="B93" s="10">
        <f>(0.5)*(60+273.15+5)/(60-5+10)</f>
        <v>2.6011538461538461</v>
      </c>
      <c r="C93" s="17" t="s">
        <v>84</v>
      </c>
      <c r="D93" s="17">
        <v>2030</v>
      </c>
    </row>
    <row r="94" spans="1:4" x14ac:dyDescent="0.2">
      <c r="A94" s="17" t="s">
        <v>51</v>
      </c>
      <c r="B94" s="42">
        <f>(0.5)*(60+273.15+5)/(60-5+10)</f>
        <v>2.6011538461538461</v>
      </c>
      <c r="C94" s="17" t="s">
        <v>84</v>
      </c>
      <c r="D94" s="17">
        <v>2035</v>
      </c>
    </row>
    <row r="95" spans="1:4" x14ac:dyDescent="0.2">
      <c r="A95" s="17" t="s">
        <v>51</v>
      </c>
      <c r="B95" s="42">
        <f>(0.5)*(60+273.15+5)/(60-5+10)</f>
        <v>2.6011538461538461</v>
      </c>
      <c r="C95" s="17" t="s">
        <v>84</v>
      </c>
      <c r="D95" s="17">
        <v>2040</v>
      </c>
    </row>
    <row r="96" spans="1:4" x14ac:dyDescent="0.2">
      <c r="A96" s="17" t="s">
        <v>51</v>
      </c>
      <c r="B96" s="10">
        <f>(0.5)*(60+273.15+5)/(60-5+10)</f>
        <v>2.6011538461538461</v>
      </c>
      <c r="C96" s="17" t="s">
        <v>84</v>
      </c>
      <c r="D96" s="17">
        <v>2045</v>
      </c>
    </row>
    <row r="97" spans="1:4" x14ac:dyDescent="0.2">
      <c r="A97" s="17" t="s">
        <v>51</v>
      </c>
      <c r="B97" s="10">
        <f>(0.5)*(60+273.15+5)/(60-5+10)</f>
        <v>2.6011538461538461</v>
      </c>
      <c r="C97" s="17" t="s">
        <v>84</v>
      </c>
      <c r="D97" s="17">
        <v>2050</v>
      </c>
    </row>
    <row r="98" spans="1:4" x14ac:dyDescent="0.2">
      <c r="A98" s="17" t="s">
        <v>45</v>
      </c>
      <c r="B98" s="47">
        <v>2.8179166666666666</v>
      </c>
      <c r="C98" s="40" t="s">
        <v>84</v>
      </c>
      <c r="D98" s="17">
        <v>2025</v>
      </c>
    </row>
    <row r="99" spans="1:4" x14ac:dyDescent="0.2">
      <c r="A99" s="17" t="s">
        <v>45</v>
      </c>
      <c r="B99" s="47">
        <v>2.8179166666666666</v>
      </c>
      <c r="C99" s="17" t="s">
        <v>84</v>
      </c>
      <c r="D99" s="17">
        <v>2030</v>
      </c>
    </row>
    <row r="100" spans="1:4" x14ac:dyDescent="0.2">
      <c r="A100" s="17" t="s">
        <v>45</v>
      </c>
      <c r="B100" s="47">
        <v>2.8179166666666666</v>
      </c>
      <c r="C100" s="17" t="s">
        <v>84</v>
      </c>
      <c r="D100" s="17">
        <v>2035</v>
      </c>
    </row>
    <row r="101" spans="1:4" x14ac:dyDescent="0.2">
      <c r="A101" s="16" t="s">
        <v>45</v>
      </c>
      <c r="B101" s="47">
        <v>2.8179166666666666</v>
      </c>
      <c r="C101" s="16" t="s">
        <v>84</v>
      </c>
      <c r="D101" s="17">
        <v>2040</v>
      </c>
    </row>
    <row r="102" spans="1:4" x14ac:dyDescent="0.2">
      <c r="A102" s="17" t="s">
        <v>45</v>
      </c>
      <c r="B102" s="47">
        <v>2.8179166666666666</v>
      </c>
      <c r="C102" s="17" t="s">
        <v>84</v>
      </c>
      <c r="D102" s="17">
        <v>2045</v>
      </c>
    </row>
    <row r="103" spans="1:4" x14ac:dyDescent="0.2">
      <c r="A103" s="17" t="s">
        <v>45</v>
      </c>
      <c r="B103" s="47">
        <v>2.8179166666666666</v>
      </c>
      <c r="C103" s="17" t="s">
        <v>84</v>
      </c>
      <c r="D103" s="17">
        <v>2050</v>
      </c>
    </row>
    <row r="104" spans="1:4" x14ac:dyDescent="0.2">
      <c r="A104" s="17" t="s">
        <v>32</v>
      </c>
      <c r="B104" s="10">
        <v>0.81120000000000003</v>
      </c>
      <c r="C104" s="40" t="s">
        <v>84</v>
      </c>
      <c r="D104" s="17">
        <v>2025</v>
      </c>
    </row>
    <row r="105" spans="1:4" x14ac:dyDescent="0.2">
      <c r="A105" s="17" t="s">
        <v>32</v>
      </c>
      <c r="B105" s="10">
        <v>0.63560000000000005</v>
      </c>
      <c r="C105" s="17" t="s">
        <v>84</v>
      </c>
      <c r="D105" s="17">
        <v>2030</v>
      </c>
    </row>
    <row r="106" spans="1:4" x14ac:dyDescent="0.2">
      <c r="A106" s="17" t="s">
        <v>32</v>
      </c>
      <c r="B106" s="47">
        <v>0.58440000000000003</v>
      </c>
      <c r="C106" s="17" t="s">
        <v>84</v>
      </c>
      <c r="D106" s="17">
        <v>2035</v>
      </c>
    </row>
    <row r="107" spans="1:4" x14ac:dyDescent="0.2">
      <c r="A107" s="17" t="s">
        <v>32</v>
      </c>
      <c r="B107" s="10">
        <v>0.53320000000000001</v>
      </c>
      <c r="C107" s="17" t="s">
        <v>84</v>
      </c>
      <c r="D107" s="17">
        <v>2040</v>
      </c>
    </row>
    <row r="108" spans="1:4" x14ac:dyDescent="0.2">
      <c r="A108" s="17" t="s">
        <v>32</v>
      </c>
      <c r="B108" s="47">
        <v>0.51544999999999996</v>
      </c>
      <c r="C108" s="17" t="s">
        <v>84</v>
      </c>
      <c r="D108" s="17">
        <v>2045</v>
      </c>
    </row>
    <row r="109" spans="1:4" x14ac:dyDescent="0.2">
      <c r="A109" s="17" t="s">
        <v>32</v>
      </c>
      <c r="B109" s="10">
        <v>0.49769999999999998</v>
      </c>
      <c r="C109" s="17" t="s">
        <v>84</v>
      </c>
      <c r="D109" s="17">
        <v>2050</v>
      </c>
    </row>
    <row r="110" spans="1:4" x14ac:dyDescent="0.2">
      <c r="A110" s="17" t="s">
        <v>50</v>
      </c>
      <c r="B110" s="42">
        <v>3.2514423076923076</v>
      </c>
      <c r="C110" s="40" t="s">
        <v>84</v>
      </c>
      <c r="D110" s="17">
        <v>2025</v>
      </c>
    </row>
    <row r="111" spans="1:4" x14ac:dyDescent="0.2">
      <c r="A111" s="17" t="s">
        <v>50</v>
      </c>
      <c r="B111" s="42">
        <v>3.2514423076923076</v>
      </c>
      <c r="C111" s="17" t="s">
        <v>84</v>
      </c>
      <c r="D111" s="17">
        <v>2030</v>
      </c>
    </row>
    <row r="112" spans="1:4" x14ac:dyDescent="0.2">
      <c r="A112" s="17" t="s">
        <v>50</v>
      </c>
      <c r="B112" s="42">
        <v>3.2514423076923076</v>
      </c>
      <c r="C112" s="17" t="s">
        <v>84</v>
      </c>
      <c r="D112" s="17">
        <v>2035</v>
      </c>
    </row>
    <row r="113" spans="1:4" x14ac:dyDescent="0.2">
      <c r="A113" s="17" t="s">
        <v>50</v>
      </c>
      <c r="B113" s="42">
        <v>3.2514423076923076</v>
      </c>
      <c r="C113" s="17" t="s">
        <v>84</v>
      </c>
      <c r="D113" s="17">
        <v>2040</v>
      </c>
    </row>
    <row r="114" spans="1:4" x14ac:dyDescent="0.2">
      <c r="A114" s="17" t="s">
        <v>50</v>
      </c>
      <c r="B114" s="42">
        <v>3.2514423076923076</v>
      </c>
      <c r="C114" s="17" t="s">
        <v>84</v>
      </c>
      <c r="D114" s="17">
        <v>2045</v>
      </c>
    </row>
    <row r="115" spans="1:4" x14ac:dyDescent="0.2">
      <c r="A115" s="17" t="s">
        <v>50</v>
      </c>
      <c r="B115" s="42">
        <v>3.2514423076923076</v>
      </c>
      <c r="C115" s="17" t="s">
        <v>84</v>
      </c>
      <c r="D115" s="17">
        <v>2050</v>
      </c>
    </row>
    <row r="116" spans="1:4" x14ac:dyDescent="0.2">
      <c r="A116" s="17" t="s">
        <v>49</v>
      </c>
      <c r="B116" s="17">
        <v>0.8</v>
      </c>
      <c r="C116" s="40" t="s">
        <v>84</v>
      </c>
      <c r="D116" s="17">
        <v>2025</v>
      </c>
    </row>
    <row r="117" spans="1:4" x14ac:dyDescent="0.2">
      <c r="A117" s="17" t="s">
        <v>49</v>
      </c>
      <c r="B117" s="17">
        <v>0.8</v>
      </c>
      <c r="C117" s="17" t="s">
        <v>84</v>
      </c>
      <c r="D117" s="17">
        <v>2030</v>
      </c>
    </row>
    <row r="118" spans="1:4" x14ac:dyDescent="0.2">
      <c r="A118" s="17" t="s">
        <v>49</v>
      </c>
      <c r="B118" s="17">
        <v>0.8</v>
      </c>
      <c r="C118" s="17" t="s">
        <v>84</v>
      </c>
      <c r="D118" s="17">
        <v>2035</v>
      </c>
    </row>
    <row r="119" spans="1:4" x14ac:dyDescent="0.2">
      <c r="A119" s="17" t="s">
        <v>49</v>
      </c>
      <c r="B119" s="17">
        <v>0.8</v>
      </c>
      <c r="C119" s="17" t="s">
        <v>84</v>
      </c>
      <c r="D119" s="17">
        <v>2040</v>
      </c>
    </row>
    <row r="120" spans="1:4" x14ac:dyDescent="0.2">
      <c r="A120" s="17" t="s">
        <v>49</v>
      </c>
      <c r="B120" s="17">
        <v>0.8</v>
      </c>
      <c r="C120" s="17" t="s">
        <v>84</v>
      </c>
      <c r="D120" s="17">
        <v>2045</v>
      </c>
    </row>
    <row r="121" spans="1:4" x14ac:dyDescent="0.2">
      <c r="A121" s="16" t="s">
        <v>49</v>
      </c>
      <c r="B121" s="16">
        <v>0.8</v>
      </c>
      <c r="C121" s="16" t="s">
        <v>84</v>
      </c>
      <c r="D121" s="17">
        <v>2050</v>
      </c>
    </row>
    <row r="122" spans="1:4" x14ac:dyDescent="0.2">
      <c r="A122" s="51" t="s">
        <v>33</v>
      </c>
      <c r="B122" s="52">
        <v>0.9</v>
      </c>
      <c r="C122" s="51" t="s">
        <v>147</v>
      </c>
      <c r="D122" s="51">
        <v>2025</v>
      </c>
    </row>
    <row r="123" spans="1:4" x14ac:dyDescent="0.2">
      <c r="A123" s="51" t="s">
        <v>33</v>
      </c>
      <c r="B123" s="52">
        <v>0.9</v>
      </c>
      <c r="C123" s="51" t="s">
        <v>147</v>
      </c>
      <c r="D123" s="51">
        <v>2030</v>
      </c>
    </row>
    <row r="124" spans="1:4" x14ac:dyDescent="0.2">
      <c r="A124" s="51" t="s">
        <v>33</v>
      </c>
      <c r="B124" s="52">
        <v>0.9</v>
      </c>
      <c r="C124" s="51" t="s">
        <v>147</v>
      </c>
      <c r="D124" s="51">
        <v>2035</v>
      </c>
    </row>
    <row r="125" spans="1:4" x14ac:dyDescent="0.2">
      <c r="A125" s="51" t="s">
        <v>33</v>
      </c>
      <c r="B125" s="52">
        <v>0.9</v>
      </c>
      <c r="C125" s="51" t="s">
        <v>147</v>
      </c>
      <c r="D125" s="51">
        <v>2040</v>
      </c>
    </row>
    <row r="126" spans="1:4" x14ac:dyDescent="0.2">
      <c r="A126" s="51" t="s">
        <v>33</v>
      </c>
      <c r="B126" s="52">
        <v>0.9</v>
      </c>
      <c r="C126" s="51" t="s">
        <v>147</v>
      </c>
      <c r="D126" s="51">
        <v>2045</v>
      </c>
    </row>
    <row r="127" spans="1:4" x14ac:dyDescent="0.2">
      <c r="A127" s="51" t="s">
        <v>33</v>
      </c>
      <c r="B127" s="52">
        <v>0.9</v>
      </c>
      <c r="C127" s="51" t="s">
        <v>147</v>
      </c>
      <c r="D127" s="51">
        <v>2050</v>
      </c>
    </row>
    <row r="128" spans="1:4" x14ac:dyDescent="0.2">
      <c r="A128" s="51" t="s">
        <v>46</v>
      </c>
      <c r="B128" s="52">
        <v>0.8</v>
      </c>
      <c r="C128" s="51" t="s">
        <v>147</v>
      </c>
      <c r="D128" s="51">
        <v>2025</v>
      </c>
    </row>
    <row r="129" spans="1:4" x14ac:dyDescent="0.2">
      <c r="A129" s="51" t="s">
        <v>46</v>
      </c>
      <c r="B129" s="52">
        <v>0.8</v>
      </c>
      <c r="C129" s="51" t="s">
        <v>147</v>
      </c>
      <c r="D129" s="51">
        <v>2030</v>
      </c>
    </row>
    <row r="130" spans="1:4" x14ac:dyDescent="0.2">
      <c r="A130" s="51" t="s">
        <v>46</v>
      </c>
      <c r="B130" s="52">
        <v>0.8</v>
      </c>
      <c r="C130" s="51" t="s">
        <v>147</v>
      </c>
      <c r="D130" s="51">
        <v>2035</v>
      </c>
    </row>
    <row r="131" spans="1:4" x14ac:dyDescent="0.2">
      <c r="A131" s="51" t="s">
        <v>46</v>
      </c>
      <c r="B131" s="52">
        <v>0.8</v>
      </c>
      <c r="C131" s="51" t="s">
        <v>147</v>
      </c>
      <c r="D131" s="51">
        <v>2040</v>
      </c>
    </row>
    <row r="132" spans="1:4" x14ac:dyDescent="0.2">
      <c r="A132" s="51" t="s">
        <v>46</v>
      </c>
      <c r="B132" s="52">
        <v>0.8</v>
      </c>
      <c r="C132" s="51" t="s">
        <v>147</v>
      </c>
      <c r="D132" s="51">
        <v>2045</v>
      </c>
    </row>
    <row r="133" spans="1:4" x14ac:dyDescent="0.2">
      <c r="A133" s="51" t="s">
        <v>46</v>
      </c>
      <c r="B133" s="52">
        <v>0.8</v>
      </c>
      <c r="C133" s="51" t="s">
        <v>147</v>
      </c>
      <c r="D133" s="51">
        <v>2050</v>
      </c>
    </row>
    <row r="134" spans="1:4" x14ac:dyDescent="0.2">
      <c r="A134" s="51" t="s">
        <v>48</v>
      </c>
      <c r="B134" s="52">
        <v>0.7</v>
      </c>
      <c r="C134" s="51" t="s">
        <v>147</v>
      </c>
      <c r="D134" s="51">
        <v>2025</v>
      </c>
    </row>
    <row r="135" spans="1:4" x14ac:dyDescent="0.2">
      <c r="A135" s="51" t="s">
        <v>48</v>
      </c>
      <c r="B135" s="52">
        <v>0.7</v>
      </c>
      <c r="C135" s="51" t="s">
        <v>147</v>
      </c>
      <c r="D135" s="51">
        <v>2030</v>
      </c>
    </row>
    <row r="136" spans="1:4" x14ac:dyDescent="0.2">
      <c r="A136" s="51" t="s">
        <v>48</v>
      </c>
      <c r="B136" s="52">
        <v>0.7</v>
      </c>
      <c r="C136" s="51" t="s">
        <v>147</v>
      </c>
      <c r="D136" s="51">
        <v>2035</v>
      </c>
    </row>
    <row r="137" spans="1:4" x14ac:dyDescent="0.2">
      <c r="A137" s="51" t="s">
        <v>48</v>
      </c>
      <c r="B137" s="52">
        <v>0.7</v>
      </c>
      <c r="C137" s="51" t="s">
        <v>147</v>
      </c>
      <c r="D137" s="51">
        <v>2040</v>
      </c>
    </row>
    <row r="138" spans="1:4" x14ac:dyDescent="0.2">
      <c r="A138" s="51" t="s">
        <v>48</v>
      </c>
      <c r="B138" s="52">
        <v>0.7</v>
      </c>
      <c r="C138" s="51" t="s">
        <v>147</v>
      </c>
      <c r="D138" s="51">
        <v>2045</v>
      </c>
    </row>
    <row r="139" spans="1:4" x14ac:dyDescent="0.2">
      <c r="A139" s="51" t="s">
        <v>48</v>
      </c>
      <c r="B139" s="52">
        <v>0.7</v>
      </c>
      <c r="C139" s="51" t="s">
        <v>147</v>
      </c>
      <c r="D139" s="51">
        <v>2050</v>
      </c>
    </row>
    <row r="140" spans="1:4" x14ac:dyDescent="0.2">
      <c r="A140" s="51" t="s">
        <v>53</v>
      </c>
      <c r="B140" s="52">
        <v>3.6057291666666664</v>
      </c>
      <c r="C140" s="51" t="s">
        <v>147</v>
      </c>
      <c r="D140" s="51">
        <v>2025</v>
      </c>
    </row>
    <row r="141" spans="1:4" x14ac:dyDescent="0.2">
      <c r="A141" s="51" t="s">
        <v>53</v>
      </c>
      <c r="B141" s="52">
        <v>3.6057291666666664</v>
      </c>
      <c r="C141" s="51" t="s">
        <v>147</v>
      </c>
      <c r="D141" s="51">
        <v>2030</v>
      </c>
    </row>
    <row r="142" spans="1:4" x14ac:dyDescent="0.2">
      <c r="A142" s="51" t="s">
        <v>53</v>
      </c>
      <c r="B142" s="52">
        <v>3.6057291666666664</v>
      </c>
      <c r="C142" s="51" t="s">
        <v>147</v>
      </c>
      <c r="D142" s="51">
        <v>2035</v>
      </c>
    </row>
    <row r="143" spans="1:4" x14ac:dyDescent="0.2">
      <c r="A143" s="51" t="s">
        <v>53</v>
      </c>
      <c r="B143" s="52">
        <v>3.6057291666666664</v>
      </c>
      <c r="C143" s="51" t="s">
        <v>147</v>
      </c>
      <c r="D143" s="51">
        <v>2040</v>
      </c>
    </row>
    <row r="144" spans="1:4" x14ac:dyDescent="0.2">
      <c r="A144" s="51" t="s">
        <v>53</v>
      </c>
      <c r="B144" s="52">
        <v>3.6057291666666664</v>
      </c>
      <c r="C144" s="51" t="s">
        <v>147</v>
      </c>
      <c r="D144" s="51">
        <v>2045</v>
      </c>
    </row>
    <row r="145" spans="1:4" x14ac:dyDescent="0.2">
      <c r="A145" s="51" t="s">
        <v>53</v>
      </c>
      <c r="B145" s="52">
        <v>3.6057291666666664</v>
      </c>
      <c r="C145" s="51" t="s">
        <v>147</v>
      </c>
      <c r="D145" s="51">
        <v>2050</v>
      </c>
    </row>
    <row r="146" spans="1:4" x14ac:dyDescent="0.2">
      <c r="A146" s="51" t="s">
        <v>47</v>
      </c>
      <c r="B146" s="52">
        <v>0.98</v>
      </c>
      <c r="C146" s="51" t="s">
        <v>147</v>
      </c>
      <c r="D146" s="51">
        <v>2025</v>
      </c>
    </row>
    <row r="147" spans="1:4" x14ac:dyDescent="0.2">
      <c r="A147" s="51" t="s">
        <v>47</v>
      </c>
      <c r="B147" s="52">
        <v>0.98</v>
      </c>
      <c r="C147" s="51" t="s">
        <v>147</v>
      </c>
      <c r="D147" s="51">
        <v>2030</v>
      </c>
    </row>
    <row r="148" spans="1:4" x14ac:dyDescent="0.2">
      <c r="A148" s="51" t="s">
        <v>47</v>
      </c>
      <c r="B148" s="52">
        <v>0.98</v>
      </c>
      <c r="C148" s="51" t="s">
        <v>147</v>
      </c>
      <c r="D148" s="51">
        <v>2035</v>
      </c>
    </row>
    <row r="149" spans="1:4" x14ac:dyDescent="0.2">
      <c r="A149" s="51" t="s">
        <v>47</v>
      </c>
      <c r="B149" s="52">
        <v>0.98</v>
      </c>
      <c r="C149" s="51" t="s">
        <v>147</v>
      </c>
      <c r="D149" s="51">
        <v>2040</v>
      </c>
    </row>
    <row r="150" spans="1:4" x14ac:dyDescent="0.2">
      <c r="A150" s="51" t="s">
        <v>47</v>
      </c>
      <c r="B150" s="52">
        <v>0.98</v>
      </c>
      <c r="C150" s="51" t="s">
        <v>147</v>
      </c>
      <c r="D150" s="51">
        <v>2045</v>
      </c>
    </row>
    <row r="151" spans="1:4" x14ac:dyDescent="0.2">
      <c r="A151" s="51" t="s">
        <v>47</v>
      </c>
      <c r="B151" s="52">
        <v>0.98</v>
      </c>
      <c r="C151" s="51" t="s">
        <v>147</v>
      </c>
      <c r="D151" s="51">
        <v>2050</v>
      </c>
    </row>
    <row r="152" spans="1:4" x14ac:dyDescent="0.2">
      <c r="A152" s="51" t="s">
        <v>51</v>
      </c>
      <c r="B152" s="52">
        <v>2.3539592760180996</v>
      </c>
      <c r="C152" s="51" t="s">
        <v>147</v>
      </c>
      <c r="D152" s="51">
        <v>2025</v>
      </c>
    </row>
    <row r="153" spans="1:4" x14ac:dyDescent="0.2">
      <c r="A153" s="51" t="s">
        <v>51</v>
      </c>
      <c r="B153" s="52">
        <v>2.3539592760180996</v>
      </c>
      <c r="C153" s="51" t="s">
        <v>147</v>
      </c>
      <c r="D153" s="51">
        <v>2030</v>
      </c>
    </row>
    <row r="154" spans="1:4" x14ac:dyDescent="0.2">
      <c r="A154" s="51" t="s">
        <v>51</v>
      </c>
      <c r="B154" s="52">
        <v>2.3539592760180996</v>
      </c>
      <c r="C154" s="51" t="s">
        <v>147</v>
      </c>
      <c r="D154" s="51">
        <v>2035</v>
      </c>
    </row>
    <row r="155" spans="1:4" x14ac:dyDescent="0.2">
      <c r="A155" s="51" t="s">
        <v>51</v>
      </c>
      <c r="B155" s="52">
        <v>2.3539592760180996</v>
      </c>
      <c r="C155" s="51" t="s">
        <v>147</v>
      </c>
      <c r="D155" s="51">
        <v>2040</v>
      </c>
    </row>
    <row r="156" spans="1:4" x14ac:dyDescent="0.2">
      <c r="A156" s="51" t="s">
        <v>51</v>
      </c>
      <c r="B156" s="52">
        <v>2.3539592760180996</v>
      </c>
      <c r="C156" s="51" t="s">
        <v>147</v>
      </c>
      <c r="D156" s="51">
        <v>2045</v>
      </c>
    </row>
    <row r="157" spans="1:4" x14ac:dyDescent="0.2">
      <c r="A157" s="51" t="s">
        <v>51</v>
      </c>
      <c r="B157" s="52">
        <v>2.3539592760180996</v>
      </c>
      <c r="C157" s="51" t="s">
        <v>147</v>
      </c>
      <c r="D157" s="51">
        <v>2050</v>
      </c>
    </row>
    <row r="158" spans="1:4" x14ac:dyDescent="0.2">
      <c r="A158" s="51" t="s">
        <v>45</v>
      </c>
      <c r="B158" s="52">
        <v>2.5281770833333335</v>
      </c>
      <c r="C158" s="51" t="s">
        <v>147</v>
      </c>
      <c r="D158" s="51">
        <v>2025</v>
      </c>
    </row>
    <row r="159" spans="1:4" x14ac:dyDescent="0.2">
      <c r="A159" s="51" t="s">
        <v>45</v>
      </c>
      <c r="B159" s="52">
        <v>2.5281770833333335</v>
      </c>
      <c r="C159" s="51" t="s">
        <v>147</v>
      </c>
      <c r="D159" s="51">
        <v>2030</v>
      </c>
    </row>
    <row r="160" spans="1:4" x14ac:dyDescent="0.2">
      <c r="A160" s="51" t="s">
        <v>45</v>
      </c>
      <c r="B160" s="52">
        <v>2.5281770833333335</v>
      </c>
      <c r="C160" s="51" t="s">
        <v>147</v>
      </c>
      <c r="D160" s="51">
        <v>2035</v>
      </c>
    </row>
    <row r="161" spans="1:4" x14ac:dyDescent="0.2">
      <c r="A161" s="51" t="s">
        <v>45</v>
      </c>
      <c r="B161" s="52">
        <v>2.5281770833333335</v>
      </c>
      <c r="C161" s="51" t="s">
        <v>147</v>
      </c>
      <c r="D161" s="51">
        <v>2040</v>
      </c>
    </row>
    <row r="162" spans="1:4" x14ac:dyDescent="0.2">
      <c r="A162" s="51" t="s">
        <v>45</v>
      </c>
      <c r="B162" s="52">
        <v>2.5281770833333335</v>
      </c>
      <c r="C162" s="51" t="s">
        <v>147</v>
      </c>
      <c r="D162" s="51">
        <v>2045</v>
      </c>
    </row>
    <row r="163" spans="1:4" x14ac:dyDescent="0.2">
      <c r="A163" s="51" t="s">
        <v>45</v>
      </c>
      <c r="B163" s="52">
        <v>2.5281770833333335</v>
      </c>
      <c r="C163" s="51" t="s">
        <v>147</v>
      </c>
      <c r="D163" s="51">
        <v>2050</v>
      </c>
    </row>
    <row r="164" spans="1:4" x14ac:dyDescent="0.2">
      <c r="A164" s="51" t="s">
        <v>32</v>
      </c>
      <c r="B164" s="52">
        <v>0.81120000000000003</v>
      </c>
      <c r="C164" s="51" t="s">
        <v>147</v>
      </c>
      <c r="D164" s="51">
        <v>2025</v>
      </c>
    </row>
    <row r="165" spans="1:4" x14ac:dyDescent="0.2">
      <c r="A165" s="51" t="s">
        <v>32</v>
      </c>
      <c r="B165" s="52">
        <v>0.63560000000000005</v>
      </c>
      <c r="C165" s="51" t="s">
        <v>147</v>
      </c>
      <c r="D165" s="51">
        <v>2030</v>
      </c>
    </row>
    <row r="166" spans="1:4" x14ac:dyDescent="0.2">
      <c r="A166" s="51" t="s">
        <v>32</v>
      </c>
      <c r="B166" s="52">
        <v>0.58440000000000003</v>
      </c>
      <c r="C166" s="51" t="s">
        <v>147</v>
      </c>
      <c r="D166" s="51">
        <v>2035</v>
      </c>
    </row>
    <row r="167" spans="1:4" x14ac:dyDescent="0.2">
      <c r="A167" s="51" t="s">
        <v>32</v>
      </c>
      <c r="B167" s="52">
        <v>0.53320000000000001</v>
      </c>
      <c r="C167" s="51" t="s">
        <v>147</v>
      </c>
      <c r="D167" s="51">
        <v>2040</v>
      </c>
    </row>
    <row r="168" spans="1:4" x14ac:dyDescent="0.2">
      <c r="A168" s="51" t="s">
        <v>32</v>
      </c>
      <c r="B168" s="52">
        <v>0.51544999999999996</v>
      </c>
      <c r="C168" s="51" t="s">
        <v>147</v>
      </c>
      <c r="D168" s="51">
        <v>2045</v>
      </c>
    </row>
    <row r="169" spans="1:4" x14ac:dyDescent="0.2">
      <c r="A169" s="51" t="s">
        <v>32</v>
      </c>
      <c r="B169" s="52">
        <v>0.49769999999999998</v>
      </c>
      <c r="C169" s="51" t="s">
        <v>147</v>
      </c>
      <c r="D169" s="51">
        <v>2050</v>
      </c>
    </row>
    <row r="170" spans="1:4" x14ac:dyDescent="0.2">
      <c r="A170" s="51" t="s">
        <v>50</v>
      </c>
      <c r="B170" s="52">
        <v>2.8692975427350427</v>
      </c>
      <c r="C170" s="51" t="s">
        <v>147</v>
      </c>
      <c r="D170" s="51">
        <v>2025</v>
      </c>
    </row>
    <row r="171" spans="1:4" x14ac:dyDescent="0.2">
      <c r="A171" s="51" t="s">
        <v>50</v>
      </c>
      <c r="B171" s="52">
        <v>2.8692975427350427</v>
      </c>
      <c r="C171" s="51" t="s">
        <v>147</v>
      </c>
      <c r="D171" s="51">
        <v>2030</v>
      </c>
    </row>
    <row r="172" spans="1:4" x14ac:dyDescent="0.2">
      <c r="A172" s="51" t="s">
        <v>50</v>
      </c>
      <c r="B172" s="52">
        <v>2.8692975427350427</v>
      </c>
      <c r="C172" s="51" t="s">
        <v>147</v>
      </c>
      <c r="D172" s="51">
        <v>2035</v>
      </c>
    </row>
    <row r="173" spans="1:4" x14ac:dyDescent="0.2">
      <c r="A173" s="51" t="s">
        <v>50</v>
      </c>
      <c r="B173" s="52">
        <v>2.8692975427350427</v>
      </c>
      <c r="C173" s="51" t="s">
        <v>147</v>
      </c>
      <c r="D173" s="51">
        <v>2040</v>
      </c>
    </row>
    <row r="174" spans="1:4" x14ac:dyDescent="0.2">
      <c r="A174" s="51" t="s">
        <v>50</v>
      </c>
      <c r="B174" s="52">
        <v>2.8692975427350427</v>
      </c>
      <c r="C174" s="51" t="s">
        <v>147</v>
      </c>
      <c r="D174" s="51">
        <v>2045</v>
      </c>
    </row>
    <row r="175" spans="1:4" x14ac:dyDescent="0.2">
      <c r="A175" s="51" t="s">
        <v>50</v>
      </c>
      <c r="B175" s="52">
        <v>2.8692975427350427</v>
      </c>
      <c r="C175" s="51" t="s">
        <v>147</v>
      </c>
      <c r="D175" s="51">
        <v>2050</v>
      </c>
    </row>
    <row r="176" spans="1:4" x14ac:dyDescent="0.2">
      <c r="A176" s="51" t="s">
        <v>49</v>
      </c>
      <c r="B176" s="52">
        <v>0.8</v>
      </c>
      <c r="C176" s="51" t="s">
        <v>147</v>
      </c>
      <c r="D176" s="51">
        <v>2025</v>
      </c>
    </row>
    <row r="177" spans="1:4" x14ac:dyDescent="0.2">
      <c r="A177" s="51" t="s">
        <v>49</v>
      </c>
      <c r="B177" s="52">
        <v>0.8</v>
      </c>
      <c r="C177" s="51" t="s">
        <v>147</v>
      </c>
      <c r="D177" s="51">
        <v>2030</v>
      </c>
    </row>
    <row r="178" spans="1:4" x14ac:dyDescent="0.2">
      <c r="A178" s="51" t="s">
        <v>49</v>
      </c>
      <c r="B178" s="52">
        <v>0.8</v>
      </c>
      <c r="C178" s="51" t="s">
        <v>147</v>
      </c>
      <c r="D178" s="51">
        <v>2035</v>
      </c>
    </row>
    <row r="179" spans="1:4" x14ac:dyDescent="0.2">
      <c r="A179" s="51" t="s">
        <v>49</v>
      </c>
      <c r="B179" s="52">
        <v>0.8</v>
      </c>
      <c r="C179" s="51" t="s">
        <v>147</v>
      </c>
      <c r="D179" s="51">
        <v>2040</v>
      </c>
    </row>
    <row r="180" spans="1:4" x14ac:dyDescent="0.2">
      <c r="A180" s="51" t="s">
        <v>49</v>
      </c>
      <c r="B180" s="52">
        <v>0.8</v>
      </c>
      <c r="C180" s="51" t="s">
        <v>147</v>
      </c>
      <c r="D180" s="51">
        <v>2045</v>
      </c>
    </row>
    <row r="181" spans="1:4" x14ac:dyDescent="0.2">
      <c r="A181" s="53" t="s">
        <v>49</v>
      </c>
      <c r="B181" s="54">
        <v>0.8</v>
      </c>
      <c r="C181" s="53" t="s">
        <v>147</v>
      </c>
      <c r="D181" s="53">
        <v>2050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9299-0480-4B44-9C92-0431307BE1D2}">
  <dimension ref="A1:D18"/>
  <sheetViews>
    <sheetView workbookViewId="0">
      <selection activeCell="A2" sqref="A2:D18"/>
    </sheetView>
  </sheetViews>
  <sheetFormatPr baseColWidth="10" defaultRowHeight="15" x14ac:dyDescent="0.2"/>
  <cols>
    <col min="1" max="1" width="21.5" bestFit="1" customWidth="1"/>
  </cols>
  <sheetData>
    <row r="1" spans="1:4" ht="16" x14ac:dyDescent="0.2">
      <c r="A1" s="43" t="s">
        <v>17</v>
      </c>
      <c r="B1" s="43" t="s">
        <v>144</v>
      </c>
      <c r="C1" s="43" t="s">
        <v>145</v>
      </c>
      <c r="D1" t="s">
        <v>146</v>
      </c>
    </row>
    <row r="2" spans="1:4" ht="16" x14ac:dyDescent="0.2">
      <c r="A2" s="43" t="s">
        <v>33</v>
      </c>
      <c r="B2" s="43">
        <v>840.94</v>
      </c>
      <c r="C2" s="43">
        <v>1</v>
      </c>
      <c r="D2">
        <v>2025</v>
      </c>
    </row>
    <row r="3" spans="1:4" ht="16" x14ac:dyDescent="0.2">
      <c r="A3" s="43" t="s">
        <v>33</v>
      </c>
      <c r="B3" s="43">
        <v>805.2</v>
      </c>
      <c r="C3" s="43">
        <v>2</v>
      </c>
      <c r="D3">
        <v>2030</v>
      </c>
    </row>
    <row r="4" spans="1:4" ht="16" x14ac:dyDescent="0.2">
      <c r="A4" s="43" t="s">
        <v>33</v>
      </c>
      <c r="B4" s="43">
        <v>56</v>
      </c>
      <c r="C4" s="43">
        <v>5</v>
      </c>
      <c r="D4">
        <v>2040</v>
      </c>
    </row>
    <row r="5" spans="1:4" ht="16" x14ac:dyDescent="0.2">
      <c r="A5" s="43" t="s">
        <v>46</v>
      </c>
      <c r="B5" s="43">
        <v>176.11</v>
      </c>
      <c r="C5" s="43">
        <v>1</v>
      </c>
      <c r="D5">
        <v>2025</v>
      </c>
    </row>
    <row r="6" spans="1:4" ht="16" x14ac:dyDescent="0.2">
      <c r="A6" s="43" t="s">
        <v>46</v>
      </c>
      <c r="B6" s="43">
        <v>16.600000000000001</v>
      </c>
      <c r="C6" s="43">
        <v>2</v>
      </c>
      <c r="D6">
        <v>2030</v>
      </c>
    </row>
    <row r="7" spans="1:4" ht="16" x14ac:dyDescent="0.2">
      <c r="A7" s="43" t="s">
        <v>48</v>
      </c>
      <c r="B7" s="43">
        <v>83</v>
      </c>
      <c r="C7" s="43">
        <v>1</v>
      </c>
      <c r="D7">
        <v>2025</v>
      </c>
    </row>
    <row r="8" spans="1:4" ht="16" x14ac:dyDescent="0.2">
      <c r="A8" s="43" t="s">
        <v>48</v>
      </c>
      <c r="B8" s="43">
        <v>102</v>
      </c>
      <c r="C8" s="43">
        <v>2</v>
      </c>
      <c r="D8">
        <v>2030</v>
      </c>
    </row>
    <row r="9" spans="1:4" ht="16" x14ac:dyDescent="0.2">
      <c r="A9" s="43" t="s">
        <v>45</v>
      </c>
      <c r="B9" s="43">
        <v>236.57</v>
      </c>
      <c r="C9" s="43">
        <v>1</v>
      </c>
      <c r="D9">
        <v>2025</v>
      </c>
    </row>
    <row r="10" spans="1:4" ht="16" x14ac:dyDescent="0.2">
      <c r="A10" s="43" t="s">
        <v>45</v>
      </c>
      <c r="B10" s="43">
        <v>78</v>
      </c>
      <c r="C10" s="43">
        <v>2</v>
      </c>
      <c r="D10">
        <v>2030</v>
      </c>
    </row>
    <row r="11" spans="1:4" ht="16" x14ac:dyDescent="0.2">
      <c r="A11" s="43" t="s">
        <v>32</v>
      </c>
      <c r="B11" s="43">
        <v>58.5</v>
      </c>
      <c r="C11" s="43">
        <v>1</v>
      </c>
      <c r="D11">
        <v>2025</v>
      </c>
    </row>
    <row r="12" spans="1:4" ht="16" x14ac:dyDescent="0.2">
      <c r="A12" s="43" t="s">
        <v>32</v>
      </c>
      <c r="B12" s="43">
        <v>218.6</v>
      </c>
      <c r="C12" s="43">
        <v>2</v>
      </c>
      <c r="D12">
        <v>2030</v>
      </c>
    </row>
    <row r="13" spans="1:4" ht="16" x14ac:dyDescent="0.2">
      <c r="A13" s="43" t="s">
        <v>32</v>
      </c>
      <c r="B13" s="43">
        <v>55.9</v>
      </c>
      <c r="C13" s="43">
        <v>5</v>
      </c>
      <c r="D13">
        <v>2040</v>
      </c>
    </row>
    <row r="14" spans="1:4" ht="16" x14ac:dyDescent="0.2">
      <c r="A14" s="43" t="s">
        <v>50</v>
      </c>
      <c r="B14" s="43">
        <v>154</v>
      </c>
      <c r="C14" s="43">
        <v>1</v>
      </c>
      <c r="D14">
        <v>2025</v>
      </c>
    </row>
    <row r="15" spans="1:4" ht="16" x14ac:dyDescent="0.2">
      <c r="A15" s="43" t="s">
        <v>50</v>
      </c>
      <c r="B15" s="43">
        <v>66</v>
      </c>
      <c r="C15" s="43">
        <v>2</v>
      </c>
      <c r="D15">
        <v>2030</v>
      </c>
    </row>
    <row r="16" spans="1:4" ht="16" x14ac:dyDescent="0.2">
      <c r="A16" s="43" t="s">
        <v>49</v>
      </c>
      <c r="B16" s="43">
        <v>72.989999999999995</v>
      </c>
      <c r="C16" s="43">
        <v>1</v>
      </c>
      <c r="D16">
        <v>2025</v>
      </c>
    </row>
    <row r="17" spans="1:4" ht="16" x14ac:dyDescent="0.2">
      <c r="A17" s="43" t="s">
        <v>49</v>
      </c>
      <c r="B17" s="43">
        <v>216.6</v>
      </c>
      <c r="C17" s="43">
        <v>2</v>
      </c>
      <c r="D17">
        <v>2030</v>
      </c>
    </row>
    <row r="18" spans="1:4" ht="16" x14ac:dyDescent="0.2">
      <c r="A18" s="43" t="s">
        <v>49</v>
      </c>
      <c r="B18" s="43">
        <v>227.7</v>
      </c>
      <c r="C18" s="43">
        <v>5</v>
      </c>
      <c r="D18">
        <v>2040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73"/>
  <sheetViews>
    <sheetView topLeftCell="A2" workbookViewId="0">
      <selection activeCell="C9" sqref="C9"/>
    </sheetView>
  </sheetViews>
  <sheetFormatPr baseColWidth="10" defaultColWidth="8.83203125" defaultRowHeight="15" x14ac:dyDescent="0.2"/>
  <cols>
    <col min="1" max="1" width="7.6640625" bestFit="1" customWidth="1"/>
    <col min="2" max="2" width="6.83203125" customWidth="1"/>
    <col min="3" max="3" width="10.33203125" style="4" bestFit="1" customWidth="1"/>
    <col min="4" max="4" width="7.83203125" bestFit="1" customWidth="1"/>
    <col min="5" max="5" width="10.6640625" customWidth="1"/>
  </cols>
  <sheetData>
    <row r="1" spans="1:5" ht="18.75" customHeight="1" x14ac:dyDescent="0.2">
      <c r="A1" s="6" t="s">
        <v>57</v>
      </c>
      <c r="B1" s="6" t="s">
        <v>41</v>
      </c>
      <c r="C1" s="7" t="s">
        <v>10</v>
      </c>
      <c r="D1" s="6" t="s">
        <v>13</v>
      </c>
      <c r="E1" s="6" t="s">
        <v>30</v>
      </c>
    </row>
    <row r="2" spans="1:5" ht="18.75" customHeight="1" x14ac:dyDescent="0.2">
      <c r="A2" s="16" t="s">
        <v>59</v>
      </c>
      <c r="B2">
        <v>2025</v>
      </c>
      <c r="C2" s="4" t="s">
        <v>35</v>
      </c>
      <c r="D2" s="20">
        <v>2012.4</v>
      </c>
      <c r="E2" s="9" t="s">
        <v>31</v>
      </c>
    </row>
    <row r="3" spans="1:5" ht="18.75" customHeight="1" x14ac:dyDescent="0.2">
      <c r="A3" s="17" t="s">
        <v>58</v>
      </c>
      <c r="B3">
        <v>2025</v>
      </c>
      <c r="C3" s="4" t="s">
        <v>35</v>
      </c>
      <c r="D3" s="20">
        <v>1083.5999999999999</v>
      </c>
      <c r="E3" s="9" t="s">
        <v>31</v>
      </c>
    </row>
    <row r="4" spans="1:5" ht="18.75" customHeight="1" x14ac:dyDescent="0.2">
      <c r="A4" s="17" t="s">
        <v>69</v>
      </c>
      <c r="B4">
        <v>2025</v>
      </c>
      <c r="C4" s="4" t="s">
        <v>35</v>
      </c>
      <c r="D4" s="20">
        <v>1548</v>
      </c>
      <c r="E4" s="9" t="s">
        <v>31</v>
      </c>
    </row>
    <row r="5" spans="1:5" x14ac:dyDescent="0.2">
      <c r="A5" s="16" t="s">
        <v>59</v>
      </c>
      <c r="B5">
        <v>2030</v>
      </c>
      <c r="C5" s="4" t="s">
        <v>35</v>
      </c>
      <c r="D5" s="20">
        <v>2260.7000000000003</v>
      </c>
      <c r="E5" s="9" t="s">
        <v>31</v>
      </c>
    </row>
    <row r="6" spans="1:5" x14ac:dyDescent="0.2">
      <c r="A6" s="17" t="s">
        <v>58</v>
      </c>
      <c r="B6">
        <v>2030</v>
      </c>
      <c r="C6" s="4" t="s">
        <v>35</v>
      </c>
      <c r="D6" s="20">
        <v>1217.3</v>
      </c>
      <c r="E6" s="9" t="s">
        <v>31</v>
      </c>
    </row>
    <row r="7" spans="1:5" x14ac:dyDescent="0.2">
      <c r="A7" s="17" t="s">
        <v>69</v>
      </c>
      <c r="B7">
        <v>2030</v>
      </c>
      <c r="C7" s="4" t="s">
        <v>35</v>
      </c>
      <c r="D7" s="20">
        <v>1739</v>
      </c>
      <c r="E7" s="9" t="s">
        <v>31</v>
      </c>
    </row>
    <row r="8" spans="1:5" x14ac:dyDescent="0.2">
      <c r="A8" s="16" t="s">
        <v>59</v>
      </c>
      <c r="B8">
        <v>2035</v>
      </c>
      <c r="C8" s="4" t="s">
        <v>35</v>
      </c>
      <c r="D8" s="20">
        <v>2468.7000000000003</v>
      </c>
      <c r="E8" s="9" t="s">
        <v>31</v>
      </c>
    </row>
    <row r="9" spans="1:5" x14ac:dyDescent="0.2">
      <c r="A9" s="17" t="s">
        <v>58</v>
      </c>
      <c r="B9">
        <v>2035</v>
      </c>
      <c r="C9" s="4" t="s">
        <v>35</v>
      </c>
      <c r="D9" s="20">
        <v>1329.3</v>
      </c>
      <c r="E9" s="9" t="s">
        <v>31</v>
      </c>
    </row>
    <row r="10" spans="1:5" x14ac:dyDescent="0.2">
      <c r="A10" s="17" t="s">
        <v>69</v>
      </c>
      <c r="B10">
        <v>2035</v>
      </c>
      <c r="C10" s="4" t="s">
        <v>35</v>
      </c>
      <c r="D10" s="20">
        <v>1899</v>
      </c>
      <c r="E10" s="9" t="s">
        <v>31</v>
      </c>
    </row>
    <row r="11" spans="1:5" x14ac:dyDescent="0.2">
      <c r="A11" s="16" t="s">
        <v>59</v>
      </c>
      <c r="B11">
        <v>2040</v>
      </c>
      <c r="C11" s="4" t="s">
        <v>35</v>
      </c>
      <c r="D11" s="20">
        <v>2676.7000000000003</v>
      </c>
      <c r="E11" s="9" t="s">
        <v>31</v>
      </c>
    </row>
    <row r="12" spans="1:5" x14ac:dyDescent="0.2">
      <c r="A12" s="17" t="s">
        <v>58</v>
      </c>
      <c r="B12">
        <v>2040</v>
      </c>
      <c r="C12" s="4" t="s">
        <v>35</v>
      </c>
      <c r="D12" s="20">
        <v>1441.3</v>
      </c>
      <c r="E12" s="9" t="s">
        <v>31</v>
      </c>
    </row>
    <row r="13" spans="1:5" x14ac:dyDescent="0.2">
      <c r="A13" s="17" t="s">
        <v>69</v>
      </c>
      <c r="B13">
        <v>2040</v>
      </c>
      <c r="C13" s="4" t="s">
        <v>35</v>
      </c>
      <c r="D13" s="20">
        <v>2059</v>
      </c>
      <c r="E13" s="9" t="s">
        <v>31</v>
      </c>
    </row>
    <row r="14" spans="1:5" x14ac:dyDescent="0.2">
      <c r="A14" s="16" t="s">
        <v>59</v>
      </c>
      <c r="B14">
        <v>2045</v>
      </c>
      <c r="C14" s="4" t="s">
        <v>35</v>
      </c>
      <c r="D14" s="20">
        <v>2922.4</v>
      </c>
      <c r="E14" s="9" t="s">
        <v>31</v>
      </c>
    </row>
    <row r="15" spans="1:5" x14ac:dyDescent="0.2">
      <c r="A15" s="17" t="s">
        <v>58</v>
      </c>
      <c r="B15">
        <v>2045</v>
      </c>
      <c r="C15" s="4" t="s">
        <v>35</v>
      </c>
      <c r="D15" s="20">
        <v>1573.6</v>
      </c>
      <c r="E15" s="9" t="s">
        <v>31</v>
      </c>
    </row>
    <row r="16" spans="1:5" x14ac:dyDescent="0.2">
      <c r="A16" s="17" t="s">
        <v>69</v>
      </c>
      <c r="B16">
        <v>2045</v>
      </c>
      <c r="C16" s="4" t="s">
        <v>35</v>
      </c>
      <c r="D16" s="20">
        <v>2248</v>
      </c>
      <c r="E16" s="9" t="s">
        <v>31</v>
      </c>
    </row>
    <row r="17" spans="1:5" x14ac:dyDescent="0.2">
      <c r="A17" s="16" t="s">
        <v>59</v>
      </c>
      <c r="B17">
        <v>2050</v>
      </c>
      <c r="C17" s="4" t="s">
        <v>35</v>
      </c>
      <c r="D17" s="20">
        <v>3168.1</v>
      </c>
      <c r="E17" s="9" t="s">
        <v>31</v>
      </c>
    </row>
    <row r="18" spans="1:5" x14ac:dyDescent="0.2">
      <c r="A18" s="17" t="s">
        <v>58</v>
      </c>
      <c r="B18">
        <v>2050</v>
      </c>
      <c r="C18" s="4" t="s">
        <v>35</v>
      </c>
      <c r="D18" s="20">
        <v>1705.8999999999999</v>
      </c>
      <c r="E18" s="9" t="s">
        <v>31</v>
      </c>
    </row>
    <row r="19" spans="1:5" x14ac:dyDescent="0.2">
      <c r="A19" s="17" t="s">
        <v>69</v>
      </c>
      <c r="B19">
        <v>2050</v>
      </c>
      <c r="C19" s="4" t="s">
        <v>35</v>
      </c>
      <c r="D19" s="23">
        <v>2437</v>
      </c>
      <c r="E19" s="9" t="s">
        <v>31</v>
      </c>
    </row>
    <row r="20" spans="1:5" x14ac:dyDescent="0.2">
      <c r="A20" s="16" t="s">
        <v>59</v>
      </c>
      <c r="B20">
        <v>2025</v>
      </c>
      <c r="C20" s="22" t="s">
        <v>54</v>
      </c>
      <c r="D20" s="20">
        <v>740.59999999999991</v>
      </c>
      <c r="E20" s="9" t="s">
        <v>31</v>
      </c>
    </row>
    <row r="21" spans="1:5" x14ac:dyDescent="0.2">
      <c r="A21" s="17" t="s">
        <v>58</v>
      </c>
      <c r="B21">
        <v>2025</v>
      </c>
      <c r="C21" s="22" t="s">
        <v>54</v>
      </c>
      <c r="D21" s="20">
        <v>547.4</v>
      </c>
      <c r="E21" s="9" t="s">
        <v>31</v>
      </c>
    </row>
    <row r="22" spans="1:5" x14ac:dyDescent="0.2">
      <c r="A22" s="17" t="s">
        <v>69</v>
      </c>
      <c r="B22">
        <v>2025</v>
      </c>
      <c r="C22" s="22" t="s">
        <v>54</v>
      </c>
      <c r="D22" s="20">
        <v>644</v>
      </c>
      <c r="E22" s="9" t="s">
        <v>31</v>
      </c>
    </row>
    <row r="23" spans="1:5" x14ac:dyDescent="0.2">
      <c r="A23" s="16" t="s">
        <v>59</v>
      </c>
      <c r="B23">
        <v>2030</v>
      </c>
      <c r="C23" s="22" t="s">
        <v>54</v>
      </c>
      <c r="D23" s="20">
        <v>832.59999999999991</v>
      </c>
      <c r="E23" s="9" t="s">
        <v>31</v>
      </c>
    </row>
    <row r="24" spans="1:5" x14ac:dyDescent="0.2">
      <c r="A24" s="17" t="s">
        <v>58</v>
      </c>
      <c r="B24">
        <v>2030</v>
      </c>
      <c r="C24" s="22" t="s">
        <v>54</v>
      </c>
      <c r="D24" s="20">
        <v>615.4</v>
      </c>
      <c r="E24" s="9" t="s">
        <v>31</v>
      </c>
    </row>
    <row r="25" spans="1:5" x14ac:dyDescent="0.2">
      <c r="A25" s="17" t="s">
        <v>69</v>
      </c>
      <c r="B25">
        <v>2030</v>
      </c>
      <c r="C25" s="22" t="s">
        <v>54</v>
      </c>
      <c r="D25" s="20">
        <v>724</v>
      </c>
      <c r="E25" s="9" t="s">
        <v>31</v>
      </c>
    </row>
    <row r="26" spans="1:5" x14ac:dyDescent="0.2">
      <c r="A26" s="16" t="s">
        <v>59</v>
      </c>
      <c r="B26">
        <v>2035</v>
      </c>
      <c r="C26" s="22" t="s">
        <v>54</v>
      </c>
      <c r="D26" s="20">
        <v>909.07499999999993</v>
      </c>
      <c r="E26" s="9" t="s">
        <v>31</v>
      </c>
    </row>
    <row r="27" spans="1:5" x14ac:dyDescent="0.2">
      <c r="A27" s="17" t="s">
        <v>58</v>
      </c>
      <c r="B27">
        <v>2035</v>
      </c>
      <c r="C27" s="22" t="s">
        <v>54</v>
      </c>
      <c r="D27" s="20">
        <v>671.92499999999995</v>
      </c>
      <c r="E27" s="9" t="s">
        <v>31</v>
      </c>
    </row>
    <row r="28" spans="1:5" x14ac:dyDescent="0.2">
      <c r="A28" s="17" t="s">
        <v>69</v>
      </c>
      <c r="B28">
        <v>2035</v>
      </c>
      <c r="C28" s="22" t="s">
        <v>54</v>
      </c>
      <c r="D28" s="20">
        <v>790.5</v>
      </c>
      <c r="E28" s="9" t="s">
        <v>31</v>
      </c>
    </row>
    <row r="29" spans="1:5" x14ac:dyDescent="0.2">
      <c r="A29" s="16" t="s">
        <v>59</v>
      </c>
      <c r="B29">
        <v>2040</v>
      </c>
      <c r="C29" s="22" t="s">
        <v>54</v>
      </c>
      <c r="D29" s="20">
        <v>985.55</v>
      </c>
      <c r="E29" s="9" t="s">
        <v>31</v>
      </c>
    </row>
    <row r="30" spans="1:5" x14ac:dyDescent="0.2">
      <c r="A30" s="17" t="s">
        <v>58</v>
      </c>
      <c r="B30">
        <v>2040</v>
      </c>
      <c r="C30" s="22" t="s">
        <v>54</v>
      </c>
      <c r="D30" s="20">
        <v>728.44999999999993</v>
      </c>
      <c r="E30" s="9" t="s">
        <v>31</v>
      </c>
    </row>
    <row r="31" spans="1:5" x14ac:dyDescent="0.2">
      <c r="A31" s="17" t="s">
        <v>69</v>
      </c>
      <c r="B31">
        <v>2040</v>
      </c>
      <c r="C31" s="22" t="s">
        <v>54</v>
      </c>
      <c r="D31" s="20">
        <v>857</v>
      </c>
      <c r="E31" s="9" t="s">
        <v>31</v>
      </c>
    </row>
    <row r="32" spans="1:5" x14ac:dyDescent="0.2">
      <c r="A32" s="16" t="s">
        <v>59</v>
      </c>
      <c r="B32">
        <v>2045</v>
      </c>
      <c r="C32" s="22" t="s">
        <v>54</v>
      </c>
      <c r="D32" s="20">
        <v>1076.4000000000001</v>
      </c>
      <c r="E32" s="9" t="s">
        <v>31</v>
      </c>
    </row>
    <row r="33" spans="1:5" x14ac:dyDescent="0.2">
      <c r="A33" s="17" t="s">
        <v>58</v>
      </c>
      <c r="B33">
        <v>2045</v>
      </c>
      <c r="C33" s="22" t="s">
        <v>54</v>
      </c>
      <c r="D33" s="20">
        <v>795.59999999999991</v>
      </c>
      <c r="E33" s="9" t="s">
        <v>31</v>
      </c>
    </row>
    <row r="34" spans="1:5" x14ac:dyDescent="0.2">
      <c r="A34" s="17" t="s">
        <v>69</v>
      </c>
      <c r="B34">
        <v>2045</v>
      </c>
      <c r="C34" s="22" t="s">
        <v>54</v>
      </c>
      <c r="D34" s="20">
        <v>936</v>
      </c>
      <c r="E34" s="9" t="s">
        <v>31</v>
      </c>
    </row>
    <row r="35" spans="1:5" x14ac:dyDescent="0.2">
      <c r="A35" s="16" t="s">
        <v>59</v>
      </c>
      <c r="B35">
        <v>2050</v>
      </c>
      <c r="C35" s="22" t="s">
        <v>54</v>
      </c>
      <c r="D35" s="20">
        <v>1167.25</v>
      </c>
      <c r="E35" s="9" t="s">
        <v>31</v>
      </c>
    </row>
    <row r="36" spans="1:5" x14ac:dyDescent="0.2">
      <c r="A36" s="17" t="s">
        <v>58</v>
      </c>
      <c r="B36">
        <v>2050</v>
      </c>
      <c r="C36" s="22" t="s">
        <v>54</v>
      </c>
      <c r="D36" s="20">
        <v>862.75</v>
      </c>
      <c r="E36" s="9" t="s">
        <v>31</v>
      </c>
    </row>
    <row r="37" spans="1:5" x14ac:dyDescent="0.2">
      <c r="A37" s="17" t="s">
        <v>69</v>
      </c>
      <c r="B37">
        <v>2050</v>
      </c>
      <c r="C37" s="22" t="s">
        <v>54</v>
      </c>
      <c r="D37" s="23">
        <v>1015</v>
      </c>
      <c r="E37" s="9" t="s">
        <v>31</v>
      </c>
    </row>
    <row r="38" spans="1:5" x14ac:dyDescent="0.2">
      <c r="A38" s="16" t="s">
        <v>59</v>
      </c>
      <c r="B38">
        <v>2025</v>
      </c>
      <c r="C38" s="26" t="s">
        <v>34</v>
      </c>
      <c r="D38" s="20">
        <v>-945</v>
      </c>
      <c r="E38" s="9" t="s">
        <v>31</v>
      </c>
    </row>
    <row r="39" spans="1:5" x14ac:dyDescent="0.2">
      <c r="A39" s="17" t="s">
        <v>58</v>
      </c>
      <c r="B39">
        <v>2025</v>
      </c>
      <c r="C39" s="26" t="s">
        <v>34</v>
      </c>
      <c r="D39" s="20">
        <v>-1449</v>
      </c>
      <c r="E39" s="9" t="s">
        <v>31</v>
      </c>
    </row>
    <row r="40" spans="1:5" x14ac:dyDescent="0.2">
      <c r="A40" s="17" t="s">
        <v>69</v>
      </c>
      <c r="B40">
        <v>2025</v>
      </c>
      <c r="C40" s="26" t="s">
        <v>34</v>
      </c>
      <c r="D40" s="21">
        <v>-1260</v>
      </c>
      <c r="E40" s="9" t="s">
        <v>31</v>
      </c>
    </row>
    <row r="41" spans="1:5" x14ac:dyDescent="0.2">
      <c r="A41" s="16" t="s">
        <v>59</v>
      </c>
      <c r="B41">
        <v>2030</v>
      </c>
      <c r="C41" s="26" t="s">
        <v>34</v>
      </c>
      <c r="D41" s="20">
        <v>-1199.25</v>
      </c>
      <c r="E41" s="9" t="s">
        <v>31</v>
      </c>
    </row>
    <row r="42" spans="1:5" x14ac:dyDescent="0.2">
      <c r="A42" s="17" t="s">
        <v>58</v>
      </c>
      <c r="B42">
        <v>2030</v>
      </c>
      <c r="C42" s="26" t="s">
        <v>34</v>
      </c>
      <c r="D42" s="20">
        <v>-1838.85</v>
      </c>
      <c r="E42" s="9" t="s">
        <v>31</v>
      </c>
    </row>
    <row r="43" spans="1:5" x14ac:dyDescent="0.2">
      <c r="A43" s="17" t="s">
        <v>69</v>
      </c>
      <c r="B43">
        <v>2030</v>
      </c>
      <c r="C43" s="26" t="s">
        <v>34</v>
      </c>
      <c r="D43" s="21">
        <v>-1599</v>
      </c>
      <c r="E43" s="9" t="s">
        <v>31</v>
      </c>
    </row>
    <row r="44" spans="1:5" x14ac:dyDescent="0.2">
      <c r="A44" s="16" t="s">
        <v>59</v>
      </c>
      <c r="B44">
        <v>2035</v>
      </c>
      <c r="C44" s="26" t="s">
        <v>34</v>
      </c>
      <c r="D44" s="20">
        <v>-1344.75</v>
      </c>
      <c r="E44" s="9" t="s">
        <v>31</v>
      </c>
    </row>
    <row r="45" spans="1:5" x14ac:dyDescent="0.2">
      <c r="A45" s="17" t="s">
        <v>58</v>
      </c>
      <c r="B45">
        <v>2035</v>
      </c>
      <c r="C45" s="26" t="s">
        <v>34</v>
      </c>
      <c r="D45" s="20">
        <v>-2061.9499999999998</v>
      </c>
      <c r="E45" s="9" t="s">
        <v>31</v>
      </c>
    </row>
    <row r="46" spans="1:5" x14ac:dyDescent="0.2">
      <c r="A46" s="17" t="s">
        <v>69</v>
      </c>
      <c r="B46">
        <v>2035</v>
      </c>
      <c r="C46" s="26" t="s">
        <v>34</v>
      </c>
      <c r="D46" s="20">
        <v>-1793</v>
      </c>
      <c r="E46" s="9" t="s">
        <v>31</v>
      </c>
    </row>
    <row r="47" spans="1:5" x14ac:dyDescent="0.2">
      <c r="A47" s="16" t="s">
        <v>59</v>
      </c>
      <c r="B47">
        <v>2040</v>
      </c>
      <c r="C47" s="26" t="s">
        <v>34</v>
      </c>
      <c r="D47" s="20">
        <v>-1490.25</v>
      </c>
      <c r="E47" s="9" t="s">
        <v>31</v>
      </c>
    </row>
    <row r="48" spans="1:5" x14ac:dyDescent="0.2">
      <c r="A48" s="17" t="s">
        <v>58</v>
      </c>
      <c r="B48">
        <v>2040</v>
      </c>
      <c r="C48" s="26" t="s">
        <v>34</v>
      </c>
      <c r="D48" s="20">
        <v>-2285.0499999999997</v>
      </c>
      <c r="E48" s="9" t="s">
        <v>31</v>
      </c>
    </row>
    <row r="49" spans="1:5" x14ac:dyDescent="0.2">
      <c r="A49" s="17" t="s">
        <v>69</v>
      </c>
      <c r="B49">
        <v>2040</v>
      </c>
      <c r="C49" s="26" t="s">
        <v>34</v>
      </c>
      <c r="D49" s="21">
        <v>-1987</v>
      </c>
      <c r="E49" s="9" t="s">
        <v>31</v>
      </c>
    </row>
    <row r="50" spans="1:5" x14ac:dyDescent="0.2">
      <c r="A50" s="17" t="s">
        <v>59</v>
      </c>
      <c r="B50">
        <v>2045</v>
      </c>
      <c r="C50" s="26" t="s">
        <v>34</v>
      </c>
      <c r="D50" s="20">
        <v>-1599.375</v>
      </c>
      <c r="E50" s="9" t="s">
        <v>31</v>
      </c>
    </row>
    <row r="51" spans="1:5" x14ac:dyDescent="0.2">
      <c r="A51" s="17" t="s">
        <v>58</v>
      </c>
      <c r="B51">
        <v>2045</v>
      </c>
      <c r="C51" s="26" t="s">
        <v>34</v>
      </c>
      <c r="D51" s="20">
        <v>-2452.375</v>
      </c>
      <c r="E51" s="9" t="s">
        <v>31</v>
      </c>
    </row>
    <row r="52" spans="1:5" x14ac:dyDescent="0.2">
      <c r="A52" s="17" t="s">
        <v>69</v>
      </c>
      <c r="B52">
        <v>2045</v>
      </c>
      <c r="C52" s="26" t="s">
        <v>34</v>
      </c>
      <c r="D52" s="20">
        <v>-2132.5</v>
      </c>
      <c r="E52" s="9" t="s">
        <v>31</v>
      </c>
    </row>
    <row r="53" spans="1:5" x14ac:dyDescent="0.2">
      <c r="A53" s="17" t="s">
        <v>59</v>
      </c>
      <c r="B53">
        <v>2050</v>
      </c>
      <c r="C53" s="26" t="s">
        <v>34</v>
      </c>
      <c r="D53" s="20">
        <v>-1708.5</v>
      </c>
      <c r="E53" s="9" t="s">
        <v>31</v>
      </c>
    </row>
    <row r="54" spans="1:5" x14ac:dyDescent="0.2">
      <c r="A54" s="17" t="s">
        <v>58</v>
      </c>
      <c r="B54">
        <v>2050</v>
      </c>
      <c r="C54" s="26" t="s">
        <v>34</v>
      </c>
      <c r="D54" s="20">
        <v>-2619.6999999999998</v>
      </c>
      <c r="E54" s="9" t="s">
        <v>31</v>
      </c>
    </row>
    <row r="55" spans="1:5" x14ac:dyDescent="0.2">
      <c r="A55" s="17" t="s">
        <v>69</v>
      </c>
      <c r="B55">
        <v>2050</v>
      </c>
      <c r="C55" s="26" t="s">
        <v>34</v>
      </c>
      <c r="D55" s="30">
        <v>-2278</v>
      </c>
      <c r="E55" s="9" t="s">
        <v>31</v>
      </c>
    </row>
    <row r="56" spans="1:5" x14ac:dyDescent="0.2">
      <c r="A56" s="16" t="s">
        <v>59</v>
      </c>
      <c r="B56">
        <v>2025</v>
      </c>
      <c r="C56" s="27" t="s">
        <v>52</v>
      </c>
      <c r="D56" s="24">
        <v>304.2</v>
      </c>
      <c r="E56" s="9" t="s">
        <v>31</v>
      </c>
    </row>
    <row r="57" spans="1:5" x14ac:dyDescent="0.2">
      <c r="A57" s="16" t="s">
        <v>58</v>
      </c>
      <c r="B57">
        <v>2025</v>
      </c>
      <c r="C57" s="27" t="s">
        <v>52</v>
      </c>
      <c r="D57" s="24">
        <v>163.79999999999998</v>
      </c>
      <c r="E57" s="9" t="s">
        <v>31</v>
      </c>
    </row>
    <row r="58" spans="1:5" x14ac:dyDescent="0.2">
      <c r="A58" s="16" t="s">
        <v>69</v>
      </c>
      <c r="B58">
        <v>2025</v>
      </c>
      <c r="C58" s="27" t="s">
        <v>52</v>
      </c>
      <c r="D58" s="24">
        <v>234</v>
      </c>
      <c r="E58" s="9" t="s">
        <v>31</v>
      </c>
    </row>
    <row r="59" spans="1:5" x14ac:dyDescent="0.2">
      <c r="A59" s="16" t="s">
        <v>59</v>
      </c>
      <c r="B59">
        <v>2030</v>
      </c>
      <c r="C59" s="27" t="s">
        <v>52</v>
      </c>
      <c r="D59" s="24">
        <v>341.90000000000003</v>
      </c>
      <c r="E59" s="9" t="s">
        <v>31</v>
      </c>
    </row>
    <row r="60" spans="1:5" x14ac:dyDescent="0.2">
      <c r="A60" s="16" t="s">
        <v>58</v>
      </c>
      <c r="B60">
        <v>2030</v>
      </c>
      <c r="C60" s="27" t="s">
        <v>52</v>
      </c>
      <c r="D60" s="24">
        <v>184.1</v>
      </c>
      <c r="E60" s="9" t="s">
        <v>31</v>
      </c>
    </row>
    <row r="61" spans="1:5" x14ac:dyDescent="0.2">
      <c r="A61" s="16" t="s">
        <v>69</v>
      </c>
      <c r="B61">
        <v>2030</v>
      </c>
      <c r="C61" s="27" t="s">
        <v>52</v>
      </c>
      <c r="D61" s="24">
        <v>263</v>
      </c>
      <c r="E61" s="9" t="s">
        <v>31</v>
      </c>
    </row>
    <row r="62" spans="1:5" x14ac:dyDescent="0.2">
      <c r="A62" s="16" t="s">
        <v>59</v>
      </c>
      <c r="B62">
        <v>2035</v>
      </c>
      <c r="C62" s="27" t="s">
        <v>52</v>
      </c>
      <c r="D62" s="24">
        <v>372.45000000000005</v>
      </c>
      <c r="E62" s="9" t="s">
        <v>31</v>
      </c>
    </row>
    <row r="63" spans="1:5" x14ac:dyDescent="0.2">
      <c r="A63" s="16" t="s">
        <v>58</v>
      </c>
      <c r="B63">
        <v>2035</v>
      </c>
      <c r="C63" s="27" t="s">
        <v>52</v>
      </c>
      <c r="D63" s="24">
        <v>200.55</v>
      </c>
      <c r="E63" s="9" t="s">
        <v>31</v>
      </c>
    </row>
    <row r="64" spans="1:5" x14ac:dyDescent="0.2">
      <c r="A64" s="16" t="s">
        <v>69</v>
      </c>
      <c r="B64">
        <v>2035</v>
      </c>
      <c r="C64" s="27" t="s">
        <v>52</v>
      </c>
      <c r="D64" s="24">
        <v>286.5</v>
      </c>
      <c r="E64" s="9" t="s">
        <v>31</v>
      </c>
    </row>
    <row r="65" spans="1:5" x14ac:dyDescent="0.2">
      <c r="A65" s="16" t="s">
        <v>59</v>
      </c>
      <c r="B65">
        <v>2040</v>
      </c>
      <c r="C65" s="27" t="s">
        <v>52</v>
      </c>
      <c r="D65" s="24">
        <v>403</v>
      </c>
      <c r="E65" s="9" t="s">
        <v>31</v>
      </c>
    </row>
    <row r="66" spans="1:5" x14ac:dyDescent="0.2">
      <c r="A66" s="16" t="s">
        <v>58</v>
      </c>
      <c r="B66">
        <v>2040</v>
      </c>
      <c r="C66" s="27" t="s">
        <v>52</v>
      </c>
      <c r="D66" s="24">
        <v>217</v>
      </c>
      <c r="E66" s="9" t="s">
        <v>31</v>
      </c>
    </row>
    <row r="67" spans="1:5" x14ac:dyDescent="0.2">
      <c r="A67" s="16" t="s">
        <v>69</v>
      </c>
      <c r="B67">
        <v>2040</v>
      </c>
      <c r="C67" s="27" t="s">
        <v>52</v>
      </c>
      <c r="D67" s="24">
        <v>310</v>
      </c>
      <c r="E67" s="9" t="s">
        <v>31</v>
      </c>
    </row>
    <row r="68" spans="1:5" x14ac:dyDescent="0.2">
      <c r="A68" s="16" t="s">
        <v>59</v>
      </c>
      <c r="B68">
        <v>2045</v>
      </c>
      <c r="C68" s="27" t="s">
        <v>52</v>
      </c>
      <c r="D68" s="24">
        <v>440.05</v>
      </c>
      <c r="E68" s="9" t="s">
        <v>31</v>
      </c>
    </row>
    <row r="69" spans="1:5" x14ac:dyDescent="0.2">
      <c r="A69" s="16" t="s">
        <v>58</v>
      </c>
      <c r="B69">
        <v>2045</v>
      </c>
      <c r="C69" s="27" t="s">
        <v>52</v>
      </c>
      <c r="D69" s="24">
        <v>236.95</v>
      </c>
      <c r="E69" s="9" t="s">
        <v>31</v>
      </c>
    </row>
    <row r="70" spans="1:5" x14ac:dyDescent="0.2">
      <c r="A70" s="16" t="s">
        <v>69</v>
      </c>
      <c r="B70">
        <v>2045</v>
      </c>
      <c r="C70" s="27" t="s">
        <v>52</v>
      </c>
      <c r="D70" s="24">
        <v>338.5</v>
      </c>
      <c r="E70" s="9" t="s">
        <v>31</v>
      </c>
    </row>
    <row r="71" spans="1:5" x14ac:dyDescent="0.2">
      <c r="A71" s="16" t="s">
        <v>59</v>
      </c>
      <c r="B71">
        <v>2050</v>
      </c>
      <c r="C71" s="27" t="s">
        <v>52</v>
      </c>
      <c r="D71" s="24">
        <v>477.1</v>
      </c>
      <c r="E71" s="9" t="s">
        <v>31</v>
      </c>
    </row>
    <row r="72" spans="1:5" x14ac:dyDescent="0.2">
      <c r="A72" s="16" t="s">
        <v>58</v>
      </c>
      <c r="B72">
        <v>2050</v>
      </c>
      <c r="C72" s="27" t="s">
        <v>52</v>
      </c>
      <c r="D72" s="24">
        <v>256.89999999999998</v>
      </c>
      <c r="E72" s="9" t="s">
        <v>31</v>
      </c>
    </row>
    <row r="73" spans="1:5" x14ac:dyDescent="0.2">
      <c r="A73" s="16" t="s">
        <v>69</v>
      </c>
      <c r="B73">
        <v>2050</v>
      </c>
      <c r="C73" s="27" t="s">
        <v>52</v>
      </c>
      <c r="D73" s="25">
        <v>367</v>
      </c>
      <c r="E73" s="9" t="s">
        <v>31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AE64E-7D8E-0E4C-9CF3-32CDB5D07DD5}">
          <x14:formula1>
            <xm:f>EmissionFactors!$A$2:$A$6</xm:f>
          </x14:formula1>
          <xm:sqref>C2:C73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N19"/>
  <sheetViews>
    <sheetView workbookViewId="0">
      <selection activeCell="L26" sqref="L26"/>
    </sheetView>
  </sheetViews>
  <sheetFormatPr baseColWidth="10" defaultColWidth="8.83203125" defaultRowHeight="15" x14ac:dyDescent="0.2"/>
  <cols>
    <col min="1" max="1" width="7.83203125" style="4" bestFit="1" customWidth="1"/>
    <col min="2" max="2" width="7.83203125" style="4" customWidth="1"/>
    <col min="3" max="3" width="13.1640625" bestFit="1" customWidth="1"/>
    <col min="4" max="4" width="6.6640625" style="4" bestFit="1" customWidth="1"/>
    <col min="5" max="5" width="8.33203125" style="4" bestFit="1" customWidth="1"/>
    <col min="6" max="7" width="15.83203125" style="4" bestFit="1" customWidth="1"/>
  </cols>
  <sheetData>
    <row r="1" spans="1:14" ht="18.75" customHeight="1" x14ac:dyDescent="0.2">
      <c r="A1" t="s">
        <v>41</v>
      </c>
      <c r="B1" s="7" t="s">
        <v>64</v>
      </c>
      <c r="C1" s="6" t="s">
        <v>2</v>
      </c>
      <c r="D1" s="3" t="s">
        <v>67</v>
      </c>
      <c r="E1" s="7" t="s">
        <v>30</v>
      </c>
      <c r="F1" s="7"/>
      <c r="G1" s="7"/>
      <c r="K1" s="7"/>
      <c r="L1" s="3"/>
      <c r="M1" s="3"/>
      <c r="N1" s="3"/>
    </row>
    <row r="2" spans="1:14" ht="18.75" customHeight="1" x14ac:dyDescent="0.2">
      <c r="A2" s="15">
        <v>2025</v>
      </c>
      <c r="B2" s="3" t="s">
        <v>61</v>
      </c>
      <c r="C2" t="s">
        <v>7</v>
      </c>
      <c r="D2" s="5">
        <v>1092</v>
      </c>
      <c r="E2" s="3" t="s">
        <v>68</v>
      </c>
      <c r="F2" s="3"/>
      <c r="G2" s="3"/>
    </row>
    <row r="3" spans="1:14" ht="18.75" customHeight="1" x14ac:dyDescent="0.2">
      <c r="A3" s="15">
        <v>2025</v>
      </c>
      <c r="B3" s="3" t="s">
        <v>62</v>
      </c>
      <c r="C3" t="s">
        <v>8</v>
      </c>
      <c r="D3" s="5">
        <v>1092</v>
      </c>
      <c r="E3" s="3" t="s">
        <v>68</v>
      </c>
      <c r="F3" s="3"/>
      <c r="G3" s="3"/>
    </row>
    <row r="4" spans="1:14" ht="18.75" customHeight="1" x14ac:dyDescent="0.2">
      <c r="A4" s="15">
        <v>2025</v>
      </c>
      <c r="B4" s="3" t="s">
        <v>60</v>
      </c>
      <c r="C4" t="s">
        <v>9</v>
      </c>
      <c r="D4" s="5">
        <v>1092</v>
      </c>
      <c r="E4" s="3" t="s">
        <v>68</v>
      </c>
      <c r="F4" s="3"/>
      <c r="G4" s="3"/>
      <c r="I4" s="7"/>
    </row>
    <row r="5" spans="1:14" x14ac:dyDescent="0.2">
      <c r="A5" s="15">
        <v>2030</v>
      </c>
      <c r="B5" s="3" t="s">
        <v>61</v>
      </c>
      <c r="C5" t="s">
        <v>7</v>
      </c>
      <c r="D5" s="5">
        <v>1201.2</v>
      </c>
      <c r="E5" s="3" t="s">
        <v>68</v>
      </c>
      <c r="I5" s="7"/>
    </row>
    <row r="6" spans="1:14" x14ac:dyDescent="0.2">
      <c r="A6" s="15">
        <v>2030</v>
      </c>
      <c r="B6" s="3" t="s">
        <v>62</v>
      </c>
      <c r="C6" t="s">
        <v>8</v>
      </c>
      <c r="D6" s="5">
        <v>1638</v>
      </c>
      <c r="E6" s="3" t="s">
        <v>68</v>
      </c>
      <c r="I6" s="7"/>
    </row>
    <row r="7" spans="1:14" x14ac:dyDescent="0.2">
      <c r="A7" s="15">
        <v>2030</v>
      </c>
      <c r="B7" s="3" t="s">
        <v>60</v>
      </c>
      <c r="C7" t="s">
        <v>9</v>
      </c>
      <c r="D7" s="5">
        <v>1092</v>
      </c>
      <c r="E7" s="3" t="s">
        <v>68</v>
      </c>
    </row>
    <row r="8" spans="1:14" x14ac:dyDescent="0.2">
      <c r="A8" s="15">
        <v>2035</v>
      </c>
      <c r="B8" s="3" t="s">
        <v>61</v>
      </c>
      <c r="C8" t="s">
        <v>7</v>
      </c>
      <c r="D8" s="5">
        <v>1283.0999999999999</v>
      </c>
      <c r="E8" s="3" t="s">
        <v>68</v>
      </c>
    </row>
    <row r="9" spans="1:14" x14ac:dyDescent="0.2">
      <c r="A9" s="15">
        <v>2035</v>
      </c>
      <c r="B9" s="3" t="s">
        <v>62</v>
      </c>
      <c r="C9" t="s">
        <v>8</v>
      </c>
      <c r="D9" s="5">
        <v>1911</v>
      </c>
      <c r="E9" s="3" t="s">
        <v>68</v>
      </c>
    </row>
    <row r="10" spans="1:14" x14ac:dyDescent="0.2">
      <c r="A10" s="15">
        <v>2035</v>
      </c>
      <c r="B10" s="3" t="s">
        <v>60</v>
      </c>
      <c r="C10" t="s">
        <v>9</v>
      </c>
      <c r="D10" s="5">
        <v>1528.8</v>
      </c>
      <c r="E10" s="3" t="s">
        <v>68</v>
      </c>
    </row>
    <row r="11" spans="1:14" x14ac:dyDescent="0.2">
      <c r="A11" s="15">
        <v>2040</v>
      </c>
      <c r="B11" s="3" t="s">
        <v>61</v>
      </c>
      <c r="C11" t="s">
        <v>7</v>
      </c>
      <c r="D11" s="5">
        <v>1365</v>
      </c>
      <c r="E11" s="3" t="s">
        <v>68</v>
      </c>
    </row>
    <row r="12" spans="1:14" x14ac:dyDescent="0.2">
      <c r="A12" s="15">
        <v>2040</v>
      </c>
      <c r="B12" s="3" t="s">
        <v>62</v>
      </c>
      <c r="C12" t="s">
        <v>8</v>
      </c>
      <c r="D12" s="5">
        <v>2184</v>
      </c>
      <c r="E12" s="3" t="s">
        <v>68</v>
      </c>
    </row>
    <row r="13" spans="1:14" x14ac:dyDescent="0.2">
      <c r="A13" s="15">
        <v>2040</v>
      </c>
      <c r="B13" s="3" t="s">
        <v>60</v>
      </c>
      <c r="C13" t="s">
        <v>9</v>
      </c>
      <c r="D13" s="5">
        <v>1965.6</v>
      </c>
      <c r="E13" s="3" t="s">
        <v>68</v>
      </c>
    </row>
    <row r="14" spans="1:14" x14ac:dyDescent="0.2">
      <c r="A14" s="15">
        <v>2045</v>
      </c>
      <c r="B14" s="3" t="s">
        <v>61</v>
      </c>
      <c r="C14" t="s">
        <v>7</v>
      </c>
      <c r="D14" s="5">
        <v>1446.9</v>
      </c>
      <c r="E14" s="3" t="s">
        <v>68</v>
      </c>
    </row>
    <row r="15" spans="1:14" x14ac:dyDescent="0.2">
      <c r="A15" s="15">
        <v>2045</v>
      </c>
      <c r="B15" s="3" t="s">
        <v>62</v>
      </c>
      <c r="C15" t="s">
        <v>8</v>
      </c>
      <c r="D15" s="5">
        <v>2457</v>
      </c>
      <c r="E15" s="3" t="s">
        <v>68</v>
      </c>
    </row>
    <row r="16" spans="1:14" x14ac:dyDescent="0.2">
      <c r="A16" s="15">
        <v>2045</v>
      </c>
      <c r="B16" s="3" t="s">
        <v>60</v>
      </c>
      <c r="C16" t="s">
        <v>9</v>
      </c>
      <c r="D16" s="5">
        <v>2347.8000000000002</v>
      </c>
      <c r="E16" s="3" t="s">
        <v>68</v>
      </c>
    </row>
    <row r="17" spans="1:5" x14ac:dyDescent="0.2">
      <c r="A17" s="15">
        <v>2050</v>
      </c>
      <c r="B17" s="3" t="s">
        <v>61</v>
      </c>
      <c r="C17" t="s">
        <v>7</v>
      </c>
      <c r="D17" s="5">
        <v>1528.8</v>
      </c>
      <c r="E17" s="3" t="s">
        <v>68</v>
      </c>
    </row>
    <row r="18" spans="1:5" x14ac:dyDescent="0.2">
      <c r="A18" s="15">
        <v>2050</v>
      </c>
      <c r="B18" s="3" t="s">
        <v>62</v>
      </c>
      <c r="C18" t="s">
        <v>8</v>
      </c>
      <c r="D18" s="5">
        <v>2730</v>
      </c>
      <c r="E18" s="3" t="s">
        <v>68</v>
      </c>
    </row>
    <row r="19" spans="1:5" x14ac:dyDescent="0.2">
      <c r="A19" s="15">
        <v>2050</v>
      </c>
      <c r="B19" s="3" t="s">
        <v>60</v>
      </c>
      <c r="C19" t="s">
        <v>9</v>
      </c>
      <c r="D19" s="5">
        <v>2730</v>
      </c>
      <c r="E19" s="3" t="s">
        <v>68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2AE5-26EB-044C-9A39-EB702173087D}">
  <dimension ref="A1:D7"/>
  <sheetViews>
    <sheetView workbookViewId="0">
      <selection activeCell="D3" sqref="D3:D7"/>
    </sheetView>
  </sheetViews>
  <sheetFormatPr baseColWidth="10" defaultRowHeight="15" x14ac:dyDescent="0.2"/>
  <sheetData>
    <row r="1" spans="1:4" x14ac:dyDescent="0.2">
      <c r="A1" t="s">
        <v>10</v>
      </c>
      <c r="B1" t="s">
        <v>41</v>
      </c>
      <c r="C1" t="s">
        <v>131</v>
      </c>
      <c r="D1" t="s">
        <v>30</v>
      </c>
    </row>
    <row r="2" spans="1:4" x14ac:dyDescent="0.2">
      <c r="A2" t="s">
        <v>34</v>
      </c>
      <c r="B2">
        <v>2025</v>
      </c>
      <c r="C2" s="9">
        <v>7657579.3700000001</v>
      </c>
      <c r="D2" t="s">
        <v>138</v>
      </c>
    </row>
    <row r="3" spans="1:4" x14ac:dyDescent="0.2">
      <c r="A3" t="s">
        <v>34</v>
      </c>
      <c r="B3">
        <v>2030</v>
      </c>
      <c r="C3" s="9">
        <v>5474361.1100000003</v>
      </c>
      <c r="D3" t="s">
        <v>138</v>
      </c>
    </row>
    <row r="4" spans="1:4" x14ac:dyDescent="0.2">
      <c r="A4" t="s">
        <v>34</v>
      </c>
      <c r="B4">
        <v>2035</v>
      </c>
      <c r="C4" s="9">
        <v>4602930.5549999997</v>
      </c>
      <c r="D4" t="s">
        <v>138</v>
      </c>
    </row>
    <row r="5" spans="1:4" x14ac:dyDescent="0.2">
      <c r="A5" t="s">
        <v>34</v>
      </c>
      <c r="B5">
        <v>2040</v>
      </c>
      <c r="C5" s="9">
        <v>3731500</v>
      </c>
      <c r="D5" t="s">
        <v>138</v>
      </c>
    </row>
    <row r="6" spans="1:4" x14ac:dyDescent="0.2">
      <c r="A6" t="s">
        <v>34</v>
      </c>
      <c r="B6">
        <v>2045</v>
      </c>
      <c r="C6" s="9">
        <v>3382807.7649999997</v>
      </c>
      <c r="D6" t="s">
        <v>138</v>
      </c>
    </row>
    <row r="7" spans="1:4" x14ac:dyDescent="0.2">
      <c r="A7" t="s">
        <v>34</v>
      </c>
      <c r="B7">
        <v>2050</v>
      </c>
      <c r="C7" s="9">
        <v>3034115.53</v>
      </c>
      <c r="D7" t="s">
        <v>138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4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3.5" bestFit="1" customWidth="1"/>
    <col min="2" max="4" width="13.5" style="1" bestFit="1" customWidth="1"/>
  </cols>
  <sheetData>
    <row r="1" spans="1:4" ht="18.75" customHeight="1" x14ac:dyDescent="0.2">
      <c r="A1" s="6" t="s">
        <v>57</v>
      </c>
      <c r="B1" t="s">
        <v>59</v>
      </c>
      <c r="C1" t="s">
        <v>69</v>
      </c>
      <c r="D1" t="s">
        <v>58</v>
      </c>
    </row>
    <row r="2" spans="1:4" ht="18.75" customHeight="1" x14ac:dyDescent="0.2">
      <c r="A2" t="s">
        <v>59</v>
      </c>
      <c r="B2" s="2">
        <v>0.9</v>
      </c>
      <c r="C2" s="2">
        <v>0.09</v>
      </c>
      <c r="D2" s="2">
        <v>0.01</v>
      </c>
    </row>
    <row r="3" spans="1:4" ht="18.75" customHeight="1" x14ac:dyDescent="0.2">
      <c r="A3" t="s">
        <v>69</v>
      </c>
      <c r="B3" s="2">
        <v>0.05</v>
      </c>
      <c r="C3" s="2">
        <v>0.9</v>
      </c>
      <c r="D3" s="2">
        <v>0.05</v>
      </c>
    </row>
    <row r="4" spans="1:4" ht="18.75" customHeight="1" x14ac:dyDescent="0.2">
      <c r="A4" t="s">
        <v>58</v>
      </c>
      <c r="B4" s="2">
        <v>0.01</v>
      </c>
      <c r="C4" s="2">
        <v>0.09</v>
      </c>
      <c r="D4" s="2">
        <v>0.9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4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0" style="4" customWidth="1"/>
    <col min="2" max="2" width="8.1640625" style="4" customWidth="1"/>
    <col min="3" max="3" width="13.5" bestFit="1" customWidth="1"/>
    <col min="4" max="4" width="12" style="1" customWidth="1"/>
  </cols>
  <sheetData>
    <row r="1" spans="1:4" ht="18.75" customHeight="1" x14ac:dyDescent="0.2">
      <c r="A1" s="7" t="s">
        <v>6</v>
      </c>
      <c r="B1" s="7" t="s">
        <v>64</v>
      </c>
      <c r="C1" s="6" t="s">
        <v>2</v>
      </c>
      <c r="D1" s="8" t="s">
        <v>1</v>
      </c>
    </row>
    <row r="2" spans="1:4" ht="18.75" customHeight="1" x14ac:dyDescent="0.2">
      <c r="A2" s="3">
        <v>1</v>
      </c>
      <c r="B2" s="3" t="s">
        <v>61</v>
      </c>
      <c r="C2" t="s">
        <v>7</v>
      </c>
      <c r="D2" s="2">
        <v>0.3</v>
      </c>
    </row>
    <row r="3" spans="1:4" ht="18.75" customHeight="1" x14ac:dyDescent="0.2">
      <c r="A3" s="3">
        <v>2</v>
      </c>
      <c r="B3" s="3" t="s">
        <v>62</v>
      </c>
      <c r="C3" t="s">
        <v>8</v>
      </c>
      <c r="D3" s="2">
        <v>0.5</v>
      </c>
    </row>
    <row r="4" spans="1:4" ht="18.75" customHeight="1" x14ac:dyDescent="0.2">
      <c r="A4" s="3">
        <v>3</v>
      </c>
      <c r="B4" s="3" t="s">
        <v>60</v>
      </c>
      <c r="C4" t="s">
        <v>9</v>
      </c>
      <c r="D4" s="2">
        <v>0.2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2F28-6C1D-C04B-AC42-381A0329E9A6}">
  <dimension ref="A1:B3"/>
  <sheetViews>
    <sheetView workbookViewId="0">
      <selection activeCell="B3" sqref="B3"/>
    </sheetView>
  </sheetViews>
  <sheetFormatPr baseColWidth="10" defaultRowHeight="15" x14ac:dyDescent="0.2"/>
  <sheetData>
    <row r="1" spans="1:2" x14ac:dyDescent="0.2">
      <c r="A1" t="s">
        <v>130</v>
      </c>
      <c r="B1" t="s">
        <v>1</v>
      </c>
    </row>
    <row r="2" spans="1:2" x14ac:dyDescent="0.2">
      <c r="A2" t="s">
        <v>83</v>
      </c>
      <c r="B2">
        <v>0.5</v>
      </c>
    </row>
    <row r="3" spans="1:2" x14ac:dyDescent="0.2">
      <c r="A3" t="s">
        <v>84</v>
      </c>
      <c r="B3">
        <v>0.5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C4"/>
  <sheetViews>
    <sheetView workbookViewId="0">
      <selection sqref="A1:C4"/>
    </sheetView>
  </sheetViews>
  <sheetFormatPr baseColWidth="10" defaultColWidth="8.83203125" defaultRowHeight="15" x14ac:dyDescent="0.2"/>
  <cols>
    <col min="1" max="2" width="13.5" style="1" bestFit="1" customWidth="1"/>
    <col min="3" max="3" width="14.5" bestFit="1" customWidth="1"/>
  </cols>
  <sheetData>
    <row r="1" spans="1:3" ht="18.75" customHeight="1" x14ac:dyDescent="0.2">
      <c r="A1" s="8" t="s">
        <v>0</v>
      </c>
      <c r="B1" s="8" t="s">
        <v>1</v>
      </c>
      <c r="C1" s="6" t="s">
        <v>2</v>
      </c>
    </row>
    <row r="2" spans="1:3" ht="18.75" customHeight="1" x14ac:dyDescent="0.2">
      <c r="A2" s="2">
        <v>1.05</v>
      </c>
      <c r="B2" s="2">
        <v>0.3</v>
      </c>
      <c r="C2" t="s">
        <v>3</v>
      </c>
    </row>
    <row r="3" spans="1:3" ht="18.75" customHeight="1" x14ac:dyDescent="0.2">
      <c r="A3" s="3">
        <v>1</v>
      </c>
      <c r="B3" s="2">
        <v>0.5</v>
      </c>
      <c r="C3" t="s">
        <v>4</v>
      </c>
    </row>
    <row r="4" spans="1:3" ht="18.75" customHeight="1" x14ac:dyDescent="0.2">
      <c r="A4" s="2">
        <f>1/1.05</f>
        <v>0.95238095238095233</v>
      </c>
      <c r="B4" s="2">
        <v>0.2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Description</vt:lpstr>
      <vt:lpstr>ModelConfig</vt:lpstr>
      <vt:lpstr>ListPeriods</vt:lpstr>
      <vt:lpstr>ListTemperatureScenarios</vt:lpstr>
      <vt:lpstr>ListPriceScenarios</vt:lpstr>
      <vt:lpstr>ListPolicyScenarios</vt:lpstr>
      <vt:lpstr>ListCarriers</vt:lpstr>
      <vt:lpstr>Technologies</vt:lpstr>
      <vt:lpstr>Storage</vt:lpstr>
      <vt:lpstr>EmissionFactors</vt:lpstr>
      <vt:lpstr>EmissionFactorElectricity</vt:lpstr>
      <vt:lpstr>TemperatureEfficiency</vt:lpstr>
      <vt:lpstr>ExistingCapacity</vt:lpstr>
      <vt:lpstr>EnergyPriceMap</vt:lpstr>
      <vt:lpstr>CarbonTrajectories</vt:lpstr>
      <vt:lpstr>RessourcesLimitations</vt:lpstr>
      <vt:lpstr>PriceTransitions</vt:lpstr>
      <vt:lpstr>CarbonProbabilities</vt:lpstr>
      <vt:lpstr>TemperatureProbabilities</vt:lpstr>
      <vt:lpstr>DemandUncertainty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2025-10-22T13:14:42Z</dcterms:created>
  <dcterms:modified xsi:type="dcterms:W3CDTF">2025-11-25T17:17:52Z</dcterms:modified>
</cp:coreProperties>
</file>