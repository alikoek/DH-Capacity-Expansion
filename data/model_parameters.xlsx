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uwienacat-my.sharepoint.com/personal/ali_koek_tuwien_ac_at/Documents/Desktop/PhD/Capacity Expansion/Code/DH-Capacity-Expansion/data/"/>
    </mc:Choice>
  </mc:AlternateContent>
  <xr:revisionPtr revIDLastSave="0" documentId="13_ncr:1_{4D3F5B8E-A822-4356-912B-D0218C65D5EC}" xr6:coauthVersionLast="47" xr6:coauthVersionMax="47" xr10:uidLastSave="{00000000-0000-0000-0000-000000000000}"/>
  <bookViews>
    <workbookView minimized="1" xWindow="1875" yWindow="1875" windowWidth="12525" windowHeight="6675" activeTab="1" xr2:uid="{00000000-000D-0000-FFFF-FFFF00000000}"/>
  </bookViews>
  <sheets>
    <sheet name="ModelConfig" sheetId="1" r:id="rId1"/>
    <sheet name="Technologies" sheetId="2" r:id="rId2"/>
    <sheet name="CapacityLimits" sheetId="3" r:id="rId3"/>
    <sheet name="Storage" sheetId="4" r:id="rId4"/>
    <sheet name="EnergyCarriers" sheetId="5" r:id="rId5"/>
    <sheet name="Emission_Factor_for_electricity" sheetId="6" r:id="rId6"/>
    <sheet name="EnergyPriceMap" sheetId="7" r:id="rId7"/>
    <sheet name="EnergyTransitions" sheetId="8" r:id="rId8"/>
    <sheet name="CarbonTrajectory" sheetId="9" r:id="rId9"/>
    <sheet name="TemperatureScenarios" sheetId="10" r:id="rId10"/>
    <sheet name="HeatPumpCOP" sheetId="17" r:id="rId11"/>
    <sheet name="TemperatureProbabilities" sheetId="11" r:id="rId12"/>
    <sheet name="ExistingCapacitySchedule" sheetId="12" r:id="rId13"/>
    <sheet name="WasteChpEfficiency" sheetId="13" r:id="rId14"/>
    <sheet name="WasteAvailability" sheetId="14" r:id="rId15"/>
    <sheet name="ExtremeEvents" sheetId="15" r:id="rId16"/>
    <sheet name="ExtremeEventControl" sheetId="16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7" l="1"/>
  <c r="F16" i="7"/>
  <c r="E16" i="7"/>
  <c r="G14" i="7"/>
  <c r="F14" i="7"/>
  <c r="E14" i="7"/>
  <c r="G10" i="7"/>
  <c r="F10" i="7"/>
  <c r="E10" i="7"/>
  <c r="G8" i="7"/>
  <c r="F8" i="7"/>
  <c r="E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tc={463AE1AF-51B7-4233-AAAB-621DF3E70CA1}</author>
  </authors>
  <commentList>
    <comment ref="A1" authorId="0" shapeId="0" xr:uid="{463AE1AF-51B7-4233-AAAB-621DF3E70C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SEK/tCO2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tc={4D02342A-FBE5-4DB6-9C04-00FA89B0D8C7}</author>
  </authors>
  <commentList>
    <comment ref="A1" authorId="0" shapeId="0" xr:uid="{4D02342A-FBE5-4DB6-9C04-00FA89B0D8C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Changes in the annual demand in the temp scenarios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tc={7703EBF0-E384-487A-8AB0-BC9525DE85E7}</author>
  </authors>
  <commentList>
    <comment ref="A1" authorId="0" shapeId="0" xr:uid="{7703EBF0-E384-487A-8AB0-BC9525DE85E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Changes in the COPs in the low temp scenario</t>
      </text>
    </comment>
  </commentList>
</comments>
</file>

<file path=xl/sharedStrings.xml><?xml version="1.0" encoding="utf-8"?>
<sst xmlns="http://schemas.openxmlformats.org/spreadsheetml/2006/main" count="180" uniqueCount="103">
  <si>
    <t>parameter</t>
  </si>
  <si>
    <t>value</t>
  </si>
  <si>
    <t>unit</t>
  </si>
  <si>
    <t>T</t>
  </si>
  <si>
    <t>T_years</t>
  </si>
  <si>
    <t>years</t>
  </si>
  <si>
    <t>discount_rate</t>
  </si>
  <si>
    <t>base_annual_demand</t>
  </si>
  <si>
    <t>MWh_th</t>
  </si>
  <si>
    <t>salvage_fraction</t>
  </si>
  <si>
    <t>c_penalty</t>
  </si>
  <si>
    <t>SEK/MWh</t>
  </si>
  <si>
    <t>elec_taxes_levies</t>
  </si>
  <si>
    <t>n_typical_weeks</t>
  </si>
  <si>
    <t>technology</t>
  </si>
  <si>
    <t>initial_capacity[MW_th]</t>
  </si>
  <si>
    <t>max_additional_capacity[MW_th]</t>
  </si>
  <si>
    <t>investment_cost[MSEK/MW_th]</t>
  </si>
  <si>
    <t>fixed_om[MSEK/MW_th]</t>
  </si>
  <si>
    <t>variable_om[SEK/MWh_th]</t>
  </si>
  <si>
    <t>efficiency_th</t>
  </si>
  <si>
    <t>efficiency_el</t>
  </si>
  <si>
    <t>energy_carrier</t>
  </si>
  <si>
    <t>lifetime_new</t>
  </si>
  <si>
    <t>Waste_CHP</t>
  </si>
  <si>
    <t>waste</t>
  </si>
  <si>
    <t>Electric_Boiler</t>
  </si>
  <si>
    <t>elec</t>
  </si>
  <si>
    <t>SeaWater_HeatPump</t>
  </si>
  <si>
    <t>BioPellet_CHP</t>
  </si>
  <si>
    <t>bio_waste</t>
  </si>
  <si>
    <t>WoodChip_CHP</t>
  </si>
  <si>
    <t>wood_chips</t>
  </si>
  <si>
    <t>BioOil_Boiler</t>
  </si>
  <si>
    <t>bio_oil</t>
  </si>
  <si>
    <t>BioOil_CHP</t>
  </si>
  <si>
    <t>DataCenter_HeatPump</t>
  </si>
  <si>
    <t>WasteWater_HeatPump</t>
  </si>
  <si>
    <t>LowTempSources_HeatPump</t>
  </si>
  <si>
    <t>Storage</t>
  </si>
  <si>
    <t>capacity_cost</t>
  </si>
  <si>
    <t>fixed_om</t>
  </si>
  <si>
    <t>variable_om</t>
  </si>
  <si>
    <t>efficiency</t>
  </si>
  <si>
    <t>loss_rate</t>
  </si>
  <si>
    <t>max_charge_rate</t>
  </si>
  <si>
    <t>max_discharge_rate</t>
  </si>
  <si>
    <t>lifetime</t>
  </si>
  <si>
    <t>max_capacity</t>
  </si>
  <si>
    <t>initial_capacity</t>
  </si>
  <si>
    <t>carrier</t>
  </si>
  <si>
    <t>emission_factor[tCO2/MWh]</t>
  </si>
  <si>
    <t>Year</t>
  </si>
  <si>
    <t>Emission Factor (tCO2/MWh)</t>
  </si>
  <si>
    <t>state</t>
  </si>
  <si>
    <t>description</t>
  </si>
  <si>
    <t>year</t>
  </si>
  <si>
    <t>waste[SEK/MWh]</t>
  </si>
  <si>
    <t>bio_oil[SEK/MWh]</t>
  </si>
  <si>
    <t>wood_chips[SEK/MWh]</t>
  </si>
  <si>
    <t>bio_waste[SEK/MWh]</t>
  </si>
  <si>
    <t>High</t>
  </si>
  <si>
    <t>Medium</t>
  </si>
  <si>
    <t>Low</t>
  </si>
  <si>
    <t>from_state</t>
  </si>
  <si>
    <t>to_high</t>
  </si>
  <si>
    <t>to_medium</t>
  </si>
  <si>
    <t>to_low</t>
  </si>
  <si>
    <t>scenario</t>
  </si>
  <si>
    <t>High Temperature</t>
  </si>
  <si>
    <t>Low Temperature</t>
  </si>
  <si>
    <t>probability</t>
  </si>
  <si>
    <t>normal</t>
  </si>
  <si>
    <t xml:space="preserve">Normal - baseline conditions  </t>
  </si>
  <si>
    <t>demand_surge</t>
  </si>
  <si>
    <t>Climate stress - more severe winters (20% higher average demand)</t>
  </si>
  <si>
    <t>price_spike</t>
  </si>
  <si>
    <t>Energy crisis  -  high electricity prices (2x average)</t>
  </si>
  <si>
    <t>dc_outage</t>
  </si>
  <si>
    <t>Data center supply distruption  - complete unavailability</t>
  </si>
  <si>
    <t>enable_extreme_events</t>
  </si>
  <si>
    <t>Master switch to enable/disable extreme event modeling</t>
  </si>
  <si>
    <t>apply_to_year</t>
  </si>
  <si>
    <t>Which model year to apply extreme events</t>
  </si>
  <si>
    <t>efficiency [-]</t>
  </si>
  <si>
    <t>emission_factor [tCO2/MWh]</t>
  </si>
  <si>
    <t>[-]</t>
  </si>
  <si>
    <t>model years</t>
  </si>
  <si>
    <t>SEK/MWh/year</t>
  </si>
  <si>
    <t>[1/day]</t>
  </si>
  <si>
    <t>model periods</t>
  </si>
  <si>
    <t>MWh</t>
  </si>
  <si>
    <t>carbon_price [SEK/tCO2]</t>
  </si>
  <si>
    <t>availability [GWh/year]</t>
  </si>
  <si>
    <t>technology [MW_th, MWh for storage]</t>
  </si>
  <si>
    <t>technology [MW_th]</t>
  </si>
  <si>
    <t>probability [-]</t>
  </si>
  <si>
    <t>demand_multiplier [-]</t>
  </si>
  <si>
    <t>elec_price_multiplier [-]</t>
  </si>
  <si>
    <t>dc_availability [-]</t>
  </si>
  <si>
    <t>technology (COP [-])</t>
  </si>
  <si>
    <t>description (demand_multiplier [-])</t>
  </si>
  <si>
    <t>waste_min_load_factor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</si>
</sst>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ök, Ali" id="{C2436723-866E-4411-853D-B25A87398B35}" userId="S::ali.koek@tuwien.ac.at::cf6fa925-1299-4444-9ac8-ff6284848d57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12-02T14:36:29.70" personId="{C2436723-866E-4411-853D-B25A87398B35}" id="{463AE1AF-51B7-4233-AAAB-621DF3E70CA1}">
    <text xml:space="preserve">SEK/tCO2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5-12-04T09:50:54.03" personId="{C2436723-866E-4411-853D-B25A87398B35}" id="{4D02342A-FBE5-4DB6-9C04-00FA89B0D8C7}">
    <text>Changes in the annual demand in the temp scenarios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5-12-04T09:50:08.69" personId="{C2436723-866E-4411-853D-B25A87398B35}" id="{7703EBF0-E384-487A-8AB0-BC9525DE85E7}">
    <text>Changes in the COPs in the low temp scenario</text>
  </threadedComment>
</ThreadedComment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B4" sqref="B4"/>
    </sheetView>
  </sheetViews>
  <sheetFormatPr defaultColWidth="11.1875" defaultRowHeight="15.75" x14ac:dyDescent="0.5"/>
  <cols>
    <col min="1" max="1" width="19.3125" bestFit="1" customWidth="1"/>
    <col min="2" max="2" width="7.6875" bestFit="1" customWidth="1"/>
  </cols>
  <sheetData>
    <row r="1" spans="1:3" x14ac:dyDescent="0.5">
      <c r="A1" t="s">
        <v>0</v>
      </c>
      <c r="B1" t="s">
        <v>1</v>
      </c>
      <c r="C1" t="s">
        <v>2</v>
      </c>
    </row>
    <row r="2" spans="1:3" x14ac:dyDescent="0.5">
      <c r="A2" t="s">
        <v>3</v>
      </c>
      <c r="B2">
        <v>6</v>
      </c>
      <c r="C2" t="s">
        <v>87</v>
      </c>
    </row>
    <row r="3" spans="1:3" x14ac:dyDescent="0.5">
      <c r="A3" t="s">
        <v>4</v>
      </c>
      <c r="B3">
        <v>5</v>
      </c>
      <c r="C3" t="s">
        <v>5</v>
      </c>
    </row>
    <row r="4" spans="1:3" x14ac:dyDescent="0.5">
      <c r="A4" t="s">
        <v>6</v>
      </c>
      <c r="B4">
        <v>0.04</v>
      </c>
      <c r="C4" t="s">
        <v>86</v>
      </c>
    </row>
    <row r="5" spans="1:3" x14ac:dyDescent="0.5">
      <c r="A5" t="s">
        <v>7</v>
      </c>
      <c r="B5">
        <v>7901900</v>
      </c>
      <c r="C5" t="s">
        <v>8</v>
      </c>
    </row>
    <row r="6" spans="1:3" x14ac:dyDescent="0.5">
      <c r="A6" t="s">
        <v>9</v>
      </c>
      <c r="B6">
        <v>1</v>
      </c>
      <c r="C6" t="s">
        <v>86</v>
      </c>
    </row>
    <row r="7" spans="1:3" x14ac:dyDescent="0.5">
      <c r="A7" t="s">
        <v>10</v>
      </c>
      <c r="B7">
        <v>10000</v>
      </c>
      <c r="C7" t="s">
        <v>11</v>
      </c>
    </row>
    <row r="8" spans="1:3" x14ac:dyDescent="0.5">
      <c r="A8" t="s">
        <v>12</v>
      </c>
      <c r="B8">
        <v>500</v>
      </c>
      <c r="C8" t="s">
        <v>11</v>
      </c>
    </row>
    <row r="9" spans="1:3" x14ac:dyDescent="0.5">
      <c r="A9" t="s">
        <v>13</v>
      </c>
      <c r="B9">
        <v>4</v>
      </c>
      <c r="C9" t="s">
        <v>86</v>
      </c>
    </row>
    <row r="10" spans="1:3" x14ac:dyDescent="0.5">
      <c r="A10" t="s">
        <v>102</v>
      </c>
      <c r="B10">
        <v>0.25</v>
      </c>
      <c r="C10" t="s">
        <v>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tabSelected="1" workbookViewId="0">
      <selection activeCell="I5" sqref="I5"/>
    </sheetView>
  </sheetViews>
  <sheetFormatPr defaultColWidth="11.1875" defaultRowHeight="15.75" x14ac:dyDescent="0.5"/>
  <cols>
    <col min="1" max="1" width="25.0625" bestFit="1" customWidth="1"/>
    <col min="2" max="2" width="21" bestFit="1" customWidth="1"/>
    <col min="3" max="3" width="29.3125" bestFit="1" customWidth="1"/>
    <col min="9" max="9" width="12.6875" bestFit="1" customWidth="1"/>
  </cols>
  <sheetData>
    <row r="1" spans="1:10" x14ac:dyDescent="0.5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</row>
    <row r="2" spans="1:10" x14ac:dyDescent="0.5">
      <c r="A2" t="s">
        <v>24</v>
      </c>
      <c r="B2">
        <v>330</v>
      </c>
      <c r="C2">
        <v>500</v>
      </c>
      <c r="D2">
        <v>40.700000000000003</v>
      </c>
      <c r="E2">
        <v>2.2599999999999998</v>
      </c>
      <c r="F2">
        <v>2.23</v>
      </c>
      <c r="G2">
        <v>0.86</v>
      </c>
      <c r="H2">
        <v>0.26</v>
      </c>
      <c r="I2" t="s">
        <v>25</v>
      </c>
      <c r="J2">
        <v>3</v>
      </c>
    </row>
    <row r="3" spans="1:10" x14ac:dyDescent="0.5">
      <c r="A3" t="s">
        <v>26</v>
      </c>
      <c r="B3">
        <v>430</v>
      </c>
      <c r="C3">
        <v>500</v>
      </c>
      <c r="D3">
        <v>1.38</v>
      </c>
      <c r="E3">
        <v>0.01</v>
      </c>
      <c r="F3">
        <v>1</v>
      </c>
      <c r="G3">
        <v>0.98</v>
      </c>
      <c r="H3">
        <v>0</v>
      </c>
      <c r="I3" t="s">
        <v>27</v>
      </c>
      <c r="J3">
        <v>2</v>
      </c>
    </row>
    <row r="4" spans="1:10" x14ac:dyDescent="0.5">
      <c r="A4" t="s">
        <v>28</v>
      </c>
      <c r="B4">
        <v>320</v>
      </c>
      <c r="C4">
        <v>500</v>
      </c>
      <c r="D4">
        <v>7.4</v>
      </c>
      <c r="E4">
        <v>0.03</v>
      </c>
      <c r="F4">
        <v>0.5</v>
      </c>
      <c r="G4">
        <v>2.68</v>
      </c>
      <c r="H4">
        <v>0</v>
      </c>
      <c r="I4" t="s">
        <v>27</v>
      </c>
      <c r="J4">
        <v>2</v>
      </c>
    </row>
    <row r="5" spans="1:10" x14ac:dyDescent="0.5">
      <c r="A5" t="s">
        <v>29</v>
      </c>
      <c r="B5">
        <v>185</v>
      </c>
      <c r="C5">
        <v>500</v>
      </c>
      <c r="D5">
        <v>81.400000000000006</v>
      </c>
      <c r="E5">
        <v>2.2599999999999998</v>
      </c>
      <c r="F5">
        <v>2.23</v>
      </c>
      <c r="G5">
        <v>0.7</v>
      </c>
      <c r="H5">
        <v>0.21</v>
      </c>
      <c r="I5" t="s">
        <v>30</v>
      </c>
      <c r="J5">
        <v>3</v>
      </c>
    </row>
    <row r="6" spans="1:10" x14ac:dyDescent="0.5">
      <c r="A6" t="s">
        <v>31</v>
      </c>
      <c r="B6">
        <v>522</v>
      </c>
      <c r="C6">
        <v>900</v>
      </c>
      <c r="D6">
        <v>41.22</v>
      </c>
      <c r="E6">
        <v>2.2599999999999998</v>
      </c>
      <c r="F6">
        <v>2.23</v>
      </c>
      <c r="G6">
        <v>0.8</v>
      </c>
      <c r="H6">
        <v>0.27</v>
      </c>
      <c r="I6" t="s">
        <v>32</v>
      </c>
      <c r="J6">
        <v>3</v>
      </c>
    </row>
    <row r="7" spans="1:10" x14ac:dyDescent="0.5">
      <c r="A7" t="s">
        <v>33</v>
      </c>
      <c r="B7">
        <v>1700</v>
      </c>
      <c r="C7">
        <v>2000</v>
      </c>
      <c r="D7">
        <v>3.44</v>
      </c>
      <c r="E7">
        <v>0.03</v>
      </c>
      <c r="F7">
        <v>2.5</v>
      </c>
      <c r="G7">
        <v>0.9</v>
      </c>
      <c r="H7">
        <v>0</v>
      </c>
      <c r="I7" t="s">
        <v>34</v>
      </c>
      <c r="J7">
        <v>3</v>
      </c>
    </row>
    <row r="8" spans="1:10" x14ac:dyDescent="0.5">
      <c r="A8" t="s">
        <v>35</v>
      </c>
      <c r="B8">
        <v>275</v>
      </c>
      <c r="C8">
        <v>500</v>
      </c>
      <c r="D8">
        <v>22.58</v>
      </c>
      <c r="E8">
        <v>2.2599999999999998</v>
      </c>
      <c r="F8">
        <v>2.23</v>
      </c>
      <c r="G8">
        <v>0.8</v>
      </c>
      <c r="H8">
        <v>0.5</v>
      </c>
      <c r="I8" t="s">
        <v>34</v>
      </c>
      <c r="J8">
        <v>3</v>
      </c>
    </row>
    <row r="9" spans="1:10" x14ac:dyDescent="0.5">
      <c r="A9" t="s">
        <v>36</v>
      </c>
      <c r="B9">
        <v>0</v>
      </c>
      <c r="C9">
        <v>365</v>
      </c>
      <c r="D9">
        <v>7.42</v>
      </c>
      <c r="E9">
        <v>0.02</v>
      </c>
      <c r="F9">
        <v>0.5</v>
      </c>
      <c r="G9">
        <v>3.2</v>
      </c>
      <c r="H9">
        <v>0</v>
      </c>
      <c r="I9" t="s">
        <v>27</v>
      </c>
      <c r="J9">
        <v>2</v>
      </c>
    </row>
    <row r="10" spans="1:10" x14ac:dyDescent="0.5">
      <c r="A10" t="s">
        <v>37</v>
      </c>
      <c r="B10">
        <v>220</v>
      </c>
      <c r="C10">
        <v>250</v>
      </c>
      <c r="D10">
        <v>7.42</v>
      </c>
      <c r="E10">
        <v>0.03</v>
      </c>
      <c r="F10">
        <v>0.5</v>
      </c>
      <c r="G10">
        <v>2.8</v>
      </c>
      <c r="H10">
        <v>0</v>
      </c>
      <c r="I10" t="s">
        <v>27</v>
      </c>
      <c r="J10">
        <v>2</v>
      </c>
    </row>
    <row r="11" spans="1:10" x14ac:dyDescent="0.5">
      <c r="A11" t="s">
        <v>38</v>
      </c>
      <c r="B11">
        <v>0</v>
      </c>
      <c r="C11">
        <v>95</v>
      </c>
      <c r="D11">
        <v>10.42</v>
      </c>
      <c r="E11">
        <v>0.03</v>
      </c>
      <c r="F11">
        <v>0.5</v>
      </c>
      <c r="G11">
        <v>2.7</v>
      </c>
      <c r="H11">
        <v>0</v>
      </c>
      <c r="I11" t="s">
        <v>27</v>
      </c>
      <c r="J1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ColWidth="11.1875" defaultRowHeight="15.75" x14ac:dyDescent="0.5"/>
  <cols>
    <col min="1" max="1" width="25.0625" bestFit="1" customWidth="1"/>
  </cols>
  <sheetData>
    <row r="1" spans="1:7" x14ac:dyDescent="0.5">
      <c r="A1" t="s">
        <v>94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5">
      <c r="A2" t="s">
        <v>24</v>
      </c>
      <c r="B2">
        <v>-1</v>
      </c>
      <c r="C2">
        <v>500</v>
      </c>
      <c r="D2">
        <v>500</v>
      </c>
      <c r="E2">
        <v>500</v>
      </c>
      <c r="F2">
        <v>500</v>
      </c>
      <c r="G2">
        <v>500</v>
      </c>
    </row>
    <row r="3" spans="1:7" x14ac:dyDescent="0.5">
      <c r="A3" t="s">
        <v>26</v>
      </c>
      <c r="B3">
        <v>-1</v>
      </c>
      <c r="C3">
        <v>500</v>
      </c>
      <c r="D3">
        <v>400</v>
      </c>
      <c r="E3">
        <v>400</v>
      </c>
      <c r="F3">
        <v>400</v>
      </c>
      <c r="G3">
        <v>400</v>
      </c>
    </row>
    <row r="4" spans="1:7" x14ac:dyDescent="0.5">
      <c r="A4" t="s">
        <v>28</v>
      </c>
      <c r="B4">
        <v>-1</v>
      </c>
      <c r="C4">
        <v>900</v>
      </c>
      <c r="D4">
        <v>900</v>
      </c>
      <c r="E4">
        <v>900</v>
      </c>
      <c r="F4">
        <v>900</v>
      </c>
      <c r="G4">
        <v>900</v>
      </c>
    </row>
    <row r="5" spans="1:7" x14ac:dyDescent="0.5">
      <c r="A5" t="s">
        <v>29</v>
      </c>
      <c r="B5">
        <v>-1</v>
      </c>
      <c r="C5">
        <v>400</v>
      </c>
      <c r="D5">
        <v>400</v>
      </c>
      <c r="E5">
        <v>400</v>
      </c>
      <c r="F5">
        <v>400</v>
      </c>
      <c r="G5">
        <v>400</v>
      </c>
    </row>
    <row r="6" spans="1:7" x14ac:dyDescent="0.5">
      <c r="A6" t="s">
        <v>31</v>
      </c>
      <c r="B6">
        <v>-1</v>
      </c>
      <c r="C6">
        <v>900</v>
      </c>
      <c r="D6">
        <v>900</v>
      </c>
      <c r="E6">
        <v>900</v>
      </c>
      <c r="F6">
        <v>900</v>
      </c>
      <c r="G6">
        <v>900</v>
      </c>
    </row>
    <row r="7" spans="1:7" x14ac:dyDescent="0.5">
      <c r="A7" t="s">
        <v>33</v>
      </c>
      <c r="B7">
        <v>-1</v>
      </c>
      <c r="C7">
        <v>-1</v>
      </c>
      <c r="D7">
        <v>-1</v>
      </c>
      <c r="E7">
        <v>-1</v>
      </c>
      <c r="F7">
        <v>-1</v>
      </c>
      <c r="G7">
        <v>-1</v>
      </c>
    </row>
    <row r="8" spans="1:7" x14ac:dyDescent="0.5">
      <c r="A8" t="s">
        <v>35</v>
      </c>
      <c r="B8">
        <v>-1</v>
      </c>
      <c r="C8">
        <v>500</v>
      </c>
      <c r="D8">
        <v>500</v>
      </c>
      <c r="E8">
        <v>500</v>
      </c>
      <c r="F8">
        <v>500</v>
      </c>
      <c r="G8">
        <v>500</v>
      </c>
    </row>
    <row r="9" spans="1:7" x14ac:dyDescent="0.5">
      <c r="A9" t="s">
        <v>36</v>
      </c>
      <c r="B9">
        <v>-1</v>
      </c>
      <c r="C9">
        <v>365</v>
      </c>
      <c r="D9">
        <v>365</v>
      </c>
      <c r="E9">
        <v>365</v>
      </c>
      <c r="F9">
        <v>365</v>
      </c>
      <c r="G9">
        <v>365</v>
      </c>
    </row>
    <row r="10" spans="1:7" x14ac:dyDescent="0.5">
      <c r="A10" t="s">
        <v>37</v>
      </c>
      <c r="B10">
        <v>-1</v>
      </c>
      <c r="C10">
        <v>250</v>
      </c>
      <c r="D10">
        <v>250</v>
      </c>
      <c r="E10">
        <v>250</v>
      </c>
      <c r="F10">
        <v>250</v>
      </c>
      <c r="G10">
        <v>250</v>
      </c>
    </row>
    <row r="11" spans="1:7" x14ac:dyDescent="0.5">
      <c r="A11" t="s">
        <v>38</v>
      </c>
      <c r="B11">
        <v>-1</v>
      </c>
      <c r="C11">
        <v>95</v>
      </c>
      <c r="D11">
        <v>95</v>
      </c>
      <c r="E11">
        <v>95</v>
      </c>
      <c r="F11">
        <v>95</v>
      </c>
      <c r="G11">
        <v>95</v>
      </c>
    </row>
    <row r="12" spans="1:7" x14ac:dyDescent="0.5">
      <c r="A12" t="s">
        <v>39</v>
      </c>
      <c r="B12">
        <v>-1</v>
      </c>
      <c r="C12">
        <v>2000</v>
      </c>
      <c r="D12">
        <v>2000</v>
      </c>
      <c r="E12">
        <v>2000</v>
      </c>
      <c r="F12">
        <v>2000</v>
      </c>
      <c r="G12">
        <v>2000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"/>
  <sheetViews>
    <sheetView workbookViewId="0">
      <selection sqref="A1:C11"/>
    </sheetView>
  </sheetViews>
  <sheetFormatPr defaultColWidth="11.1875" defaultRowHeight="15.75" x14ac:dyDescent="0.5"/>
  <cols>
    <col min="1" max="1" width="17.5" bestFit="1" customWidth="1"/>
    <col min="2" max="2" width="5.1875" bestFit="1" customWidth="1"/>
  </cols>
  <sheetData>
    <row r="1" spans="1:3" x14ac:dyDescent="0.5">
      <c r="A1" t="s">
        <v>0</v>
      </c>
      <c r="B1" t="s">
        <v>1</v>
      </c>
      <c r="C1" t="s">
        <v>2</v>
      </c>
    </row>
    <row r="2" spans="1:3" x14ac:dyDescent="0.5">
      <c r="A2" t="s">
        <v>40</v>
      </c>
      <c r="B2">
        <v>400</v>
      </c>
      <c r="C2" t="s">
        <v>11</v>
      </c>
    </row>
    <row r="3" spans="1:3" x14ac:dyDescent="0.5">
      <c r="A3" t="s">
        <v>41</v>
      </c>
      <c r="B3">
        <v>0</v>
      </c>
      <c r="C3" t="s">
        <v>88</v>
      </c>
    </row>
    <row r="4" spans="1:3" x14ac:dyDescent="0.5">
      <c r="A4" t="s">
        <v>42</v>
      </c>
      <c r="B4">
        <v>0</v>
      </c>
      <c r="C4" t="s">
        <v>11</v>
      </c>
    </row>
    <row r="5" spans="1:3" x14ac:dyDescent="0.5">
      <c r="A5" t="s">
        <v>43</v>
      </c>
      <c r="B5">
        <v>0.95</v>
      </c>
      <c r="C5" t="s">
        <v>86</v>
      </c>
    </row>
    <row r="6" spans="1:3" x14ac:dyDescent="0.5">
      <c r="A6" t="s">
        <v>44</v>
      </c>
      <c r="B6">
        <v>0.02</v>
      </c>
      <c r="C6" t="s">
        <v>89</v>
      </c>
    </row>
    <row r="7" spans="1:3" x14ac:dyDescent="0.5">
      <c r="A7" t="s">
        <v>45</v>
      </c>
      <c r="B7">
        <v>0.25</v>
      </c>
      <c r="C7" t="s">
        <v>86</v>
      </c>
    </row>
    <row r="8" spans="1:3" x14ac:dyDescent="0.5">
      <c r="A8" t="s">
        <v>46</v>
      </c>
      <c r="B8">
        <v>0.25</v>
      </c>
      <c r="C8" t="s">
        <v>86</v>
      </c>
    </row>
    <row r="9" spans="1:3" x14ac:dyDescent="0.5">
      <c r="A9" t="s">
        <v>47</v>
      </c>
      <c r="B9">
        <v>3</v>
      </c>
      <c r="C9" t="s">
        <v>90</v>
      </c>
    </row>
    <row r="10" spans="1:3" x14ac:dyDescent="0.5">
      <c r="A10" t="s">
        <v>48</v>
      </c>
      <c r="B10">
        <v>1000</v>
      </c>
      <c r="C10" t="s">
        <v>91</v>
      </c>
    </row>
    <row r="11" spans="1:3" x14ac:dyDescent="0.5">
      <c r="A11" t="s">
        <v>49</v>
      </c>
      <c r="B11">
        <v>0</v>
      </c>
      <c r="C11" t="s">
        <v>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workbookViewId="0">
      <selection activeCell="B2" sqref="B2"/>
    </sheetView>
  </sheetViews>
  <sheetFormatPr defaultColWidth="11.1875" defaultRowHeight="15.75" x14ac:dyDescent="0.5"/>
  <sheetData>
    <row r="1" spans="1:2" x14ac:dyDescent="0.5">
      <c r="A1" t="s">
        <v>50</v>
      </c>
      <c r="B1" t="s">
        <v>51</v>
      </c>
    </row>
    <row r="2" spans="1:2" x14ac:dyDescent="0.5">
      <c r="A2" t="s">
        <v>25</v>
      </c>
      <c r="B2">
        <v>0.34735402116783071</v>
      </c>
    </row>
    <row r="3" spans="1:2" x14ac:dyDescent="0.5">
      <c r="A3" t="s">
        <v>34</v>
      </c>
      <c r="B3">
        <v>0</v>
      </c>
    </row>
    <row r="4" spans="1:2" x14ac:dyDescent="0.5">
      <c r="A4" t="s">
        <v>27</v>
      </c>
    </row>
    <row r="5" spans="1:2" x14ac:dyDescent="0.5">
      <c r="A5" t="s">
        <v>30</v>
      </c>
      <c r="B5">
        <v>0</v>
      </c>
    </row>
    <row r="6" spans="1:2" x14ac:dyDescent="0.5">
      <c r="A6" t="s">
        <v>32</v>
      </c>
      <c r="B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9"/>
  <sheetViews>
    <sheetView workbookViewId="0"/>
  </sheetViews>
  <sheetFormatPr defaultColWidth="11.1875" defaultRowHeight="15.75" x14ac:dyDescent="0.5"/>
  <sheetData>
    <row r="1" spans="1:2" x14ac:dyDescent="0.5">
      <c r="A1" t="s">
        <v>52</v>
      </c>
      <c r="B1" t="s">
        <v>53</v>
      </c>
    </row>
    <row r="2" spans="1:2" x14ac:dyDescent="0.5">
      <c r="A2">
        <v>2023</v>
      </c>
      <c r="B2">
        <v>4.4999999999999998E-2</v>
      </c>
    </row>
    <row r="3" spans="1:2" x14ac:dyDescent="0.5">
      <c r="A3">
        <v>2024</v>
      </c>
      <c r="B3">
        <v>3.5999999999999997E-2</v>
      </c>
    </row>
    <row r="4" spans="1:2" x14ac:dyDescent="0.5">
      <c r="A4">
        <v>2025</v>
      </c>
      <c r="B4">
        <v>2.8799999999999999E-2</v>
      </c>
    </row>
    <row r="5" spans="1:2" x14ac:dyDescent="0.5">
      <c r="A5">
        <v>2026</v>
      </c>
      <c r="B5">
        <v>2.3E-2</v>
      </c>
    </row>
    <row r="6" spans="1:2" x14ac:dyDescent="0.5">
      <c r="A6">
        <v>2027</v>
      </c>
      <c r="B6">
        <v>1.84E-2</v>
      </c>
    </row>
    <row r="7" spans="1:2" x14ac:dyDescent="0.5">
      <c r="A7">
        <v>2028</v>
      </c>
      <c r="B7">
        <v>1.47E-2</v>
      </c>
    </row>
    <row r="8" spans="1:2" x14ac:dyDescent="0.5">
      <c r="A8">
        <v>2029</v>
      </c>
      <c r="B8">
        <v>1.18E-2</v>
      </c>
    </row>
    <row r="9" spans="1:2" x14ac:dyDescent="0.5">
      <c r="A9">
        <v>2030</v>
      </c>
      <c r="B9">
        <v>9.4000000000000004E-3</v>
      </c>
    </row>
    <row r="10" spans="1:2" x14ac:dyDescent="0.5">
      <c r="A10">
        <v>2031</v>
      </c>
      <c r="B10">
        <v>7.4999999999999997E-3</v>
      </c>
    </row>
    <row r="11" spans="1:2" x14ac:dyDescent="0.5">
      <c r="A11">
        <v>2032</v>
      </c>
      <c r="B11">
        <v>5.3E-3</v>
      </c>
    </row>
    <row r="12" spans="1:2" x14ac:dyDescent="0.5">
      <c r="A12">
        <v>2033</v>
      </c>
      <c r="B12">
        <v>3.7000000000000002E-3</v>
      </c>
    </row>
    <row r="13" spans="1:2" x14ac:dyDescent="0.5">
      <c r="A13">
        <v>2034</v>
      </c>
      <c r="B13">
        <v>2.5999999999999999E-3</v>
      </c>
    </row>
    <row r="14" spans="1:2" x14ac:dyDescent="0.5">
      <c r="A14">
        <v>2035</v>
      </c>
      <c r="B14">
        <v>1.8E-3</v>
      </c>
    </row>
    <row r="15" spans="1:2" x14ac:dyDescent="0.5">
      <c r="A15">
        <v>2036</v>
      </c>
      <c r="B15">
        <v>1.2999999999999999E-3</v>
      </c>
    </row>
    <row r="16" spans="1:2" x14ac:dyDescent="0.5">
      <c r="A16">
        <v>2037</v>
      </c>
      <c r="B16">
        <v>8.0000000000000004E-4</v>
      </c>
    </row>
    <row r="17" spans="1:2" x14ac:dyDescent="0.5">
      <c r="A17">
        <v>2038</v>
      </c>
      <c r="B17">
        <v>5.0000000000000001E-4</v>
      </c>
    </row>
    <row r="18" spans="1:2" x14ac:dyDescent="0.5">
      <c r="A18">
        <v>2039</v>
      </c>
      <c r="B18">
        <v>2.0000000000000001E-4</v>
      </c>
    </row>
    <row r="19" spans="1:2" x14ac:dyDescent="0.5">
      <c r="A19">
        <v>2040</v>
      </c>
      <c r="B19">
        <v>1E-4</v>
      </c>
    </row>
    <row r="20" spans="1:2" x14ac:dyDescent="0.5">
      <c r="A20">
        <v>2041</v>
      </c>
      <c r="B20">
        <v>0</v>
      </c>
    </row>
    <row r="21" spans="1:2" x14ac:dyDescent="0.5">
      <c r="A21">
        <v>2042</v>
      </c>
      <c r="B21">
        <v>0</v>
      </c>
    </row>
    <row r="22" spans="1:2" x14ac:dyDescent="0.5">
      <c r="A22">
        <v>2043</v>
      </c>
      <c r="B22">
        <v>0</v>
      </c>
    </row>
    <row r="23" spans="1:2" x14ac:dyDescent="0.5">
      <c r="A23">
        <v>2044</v>
      </c>
      <c r="B23">
        <v>0</v>
      </c>
    </row>
    <row r="24" spans="1:2" x14ac:dyDescent="0.5">
      <c r="A24">
        <v>2045</v>
      </c>
      <c r="B24">
        <v>0</v>
      </c>
    </row>
    <row r="25" spans="1:2" x14ac:dyDescent="0.5">
      <c r="A25">
        <v>2046</v>
      </c>
      <c r="B25">
        <v>0</v>
      </c>
    </row>
    <row r="26" spans="1:2" x14ac:dyDescent="0.5">
      <c r="A26">
        <v>2047</v>
      </c>
      <c r="B26">
        <v>0</v>
      </c>
    </row>
    <row r="27" spans="1:2" x14ac:dyDescent="0.5">
      <c r="A27">
        <v>2048</v>
      </c>
      <c r="B27">
        <v>0</v>
      </c>
    </row>
    <row r="28" spans="1:2" x14ac:dyDescent="0.5">
      <c r="A28">
        <v>2049</v>
      </c>
      <c r="B28">
        <v>0</v>
      </c>
    </row>
    <row r="29" spans="1:2" x14ac:dyDescent="0.5">
      <c r="A29">
        <v>2050</v>
      </c>
      <c r="B29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9"/>
  <sheetViews>
    <sheetView zoomScale="130" zoomScaleNormal="130" workbookViewId="0">
      <selection activeCell="F22" sqref="F22"/>
    </sheetView>
  </sheetViews>
  <sheetFormatPr defaultColWidth="11.1875" defaultRowHeight="15.75" x14ac:dyDescent="0.5"/>
  <cols>
    <col min="1" max="1" width="4.8125" bestFit="1" customWidth="1"/>
    <col min="2" max="2" width="10" bestFit="1" customWidth="1"/>
    <col min="3" max="3" width="5.3125" customWidth="1"/>
    <col min="4" max="4" width="15.0625" bestFit="1" customWidth="1"/>
    <col min="5" max="5" width="16" bestFit="1" customWidth="1"/>
    <col min="6" max="6" width="20.1875" bestFit="1" customWidth="1"/>
    <col min="7" max="7" width="18.8125" bestFit="1" customWidth="1"/>
  </cols>
  <sheetData>
    <row r="1" spans="1:7" x14ac:dyDescent="0.5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</row>
    <row r="2" spans="1:7" x14ac:dyDescent="0.5">
      <c r="A2" s="1">
        <v>1</v>
      </c>
      <c r="B2" s="1" t="s">
        <v>61</v>
      </c>
      <c r="C2" s="1">
        <v>2023</v>
      </c>
      <c r="D2" s="1">
        <v>-126</v>
      </c>
      <c r="E2" s="1">
        <v>2012.4</v>
      </c>
      <c r="F2" s="1">
        <v>304.2</v>
      </c>
      <c r="G2" s="1">
        <v>837.2</v>
      </c>
    </row>
    <row r="3" spans="1:7" s="4" customFormat="1" x14ac:dyDescent="0.5">
      <c r="A3" s="4">
        <v>2</v>
      </c>
      <c r="B3" s="4" t="s">
        <v>62</v>
      </c>
      <c r="C3" s="4">
        <v>2023</v>
      </c>
      <c r="D3" s="4">
        <v>-126</v>
      </c>
      <c r="E3" s="4">
        <v>1548</v>
      </c>
      <c r="F3" s="4">
        <v>234</v>
      </c>
      <c r="G3" s="4">
        <v>644</v>
      </c>
    </row>
    <row r="4" spans="1:7" x14ac:dyDescent="0.5">
      <c r="A4" s="1">
        <v>3</v>
      </c>
      <c r="B4" s="1" t="s">
        <v>63</v>
      </c>
      <c r="C4" s="1">
        <v>2023</v>
      </c>
      <c r="D4" s="1">
        <v>-126</v>
      </c>
      <c r="E4" s="1">
        <v>1083.5999999999999</v>
      </c>
      <c r="F4" s="1">
        <v>163.80000000000001</v>
      </c>
      <c r="G4" s="1">
        <v>450.8</v>
      </c>
    </row>
    <row r="5" spans="1:7" x14ac:dyDescent="0.5">
      <c r="A5" s="2">
        <v>1</v>
      </c>
      <c r="B5" s="2" t="s">
        <v>61</v>
      </c>
      <c r="C5" s="2">
        <v>2030</v>
      </c>
      <c r="D5" s="2">
        <v>-160</v>
      </c>
      <c r="E5" s="2">
        <v>2260.6999999999998</v>
      </c>
      <c r="F5" s="2">
        <v>341.9</v>
      </c>
      <c r="G5" s="2">
        <v>941.2</v>
      </c>
    </row>
    <row r="6" spans="1:7" s="4" customFormat="1" x14ac:dyDescent="0.5">
      <c r="A6" s="4">
        <v>2</v>
      </c>
      <c r="B6" s="4" t="s">
        <v>62</v>
      </c>
      <c r="C6" s="4">
        <v>2030</v>
      </c>
      <c r="D6" s="4">
        <v>-160</v>
      </c>
      <c r="E6" s="4">
        <v>1739</v>
      </c>
      <c r="F6" s="4">
        <v>263</v>
      </c>
      <c r="G6" s="4">
        <v>724</v>
      </c>
    </row>
    <row r="7" spans="1:7" x14ac:dyDescent="0.5">
      <c r="A7" s="2">
        <v>3</v>
      </c>
      <c r="B7" s="2" t="s">
        <v>63</v>
      </c>
      <c r="C7" s="2">
        <v>2030</v>
      </c>
      <c r="D7" s="2">
        <v>-160</v>
      </c>
      <c r="E7" s="2">
        <v>1217.3</v>
      </c>
      <c r="F7" s="2">
        <v>184.1</v>
      </c>
      <c r="G7" s="2">
        <v>506.8</v>
      </c>
    </row>
    <row r="8" spans="1:7" x14ac:dyDescent="0.5">
      <c r="A8" s="3">
        <v>1</v>
      </c>
      <c r="B8" s="3" t="s">
        <v>61</v>
      </c>
      <c r="C8" s="3">
        <v>2035</v>
      </c>
      <c r="D8" s="3">
        <v>-183</v>
      </c>
      <c r="E8" s="3">
        <f>E9*1.3</f>
        <v>2462.2000000000003</v>
      </c>
      <c r="F8" s="3">
        <f t="shared" ref="F8:G8" si="0">F9*1.3</f>
        <v>369.2</v>
      </c>
      <c r="G8" s="3">
        <f t="shared" si="0"/>
        <v>1024.4000000000001</v>
      </c>
    </row>
    <row r="9" spans="1:7" s="4" customFormat="1" x14ac:dyDescent="0.5">
      <c r="A9" s="4">
        <v>2</v>
      </c>
      <c r="B9" s="4" t="s">
        <v>62</v>
      </c>
      <c r="C9" s="4">
        <v>2035</v>
      </c>
      <c r="D9" s="4">
        <v>-183</v>
      </c>
      <c r="E9" s="4">
        <v>1894</v>
      </c>
      <c r="F9" s="4">
        <v>284</v>
      </c>
      <c r="G9" s="4">
        <v>788</v>
      </c>
    </row>
    <row r="10" spans="1:7" x14ac:dyDescent="0.5">
      <c r="A10" s="3">
        <v>3</v>
      </c>
      <c r="B10" s="3" t="s">
        <v>63</v>
      </c>
      <c r="C10" s="3">
        <v>2035</v>
      </c>
      <c r="D10" s="3">
        <v>-183</v>
      </c>
      <c r="E10" s="3">
        <f>E9*0.7</f>
        <v>1325.8</v>
      </c>
      <c r="F10" s="3">
        <f t="shared" ref="F10:G10" si="1">F9*0.7</f>
        <v>198.79999999999998</v>
      </c>
      <c r="G10" s="3">
        <f t="shared" si="1"/>
        <v>551.59999999999991</v>
      </c>
    </row>
    <row r="11" spans="1:7" x14ac:dyDescent="0.5">
      <c r="A11" s="6">
        <v>1</v>
      </c>
      <c r="B11" s="6" t="s">
        <v>61</v>
      </c>
      <c r="C11" s="6">
        <v>2040</v>
      </c>
      <c r="D11" s="6">
        <v>-199</v>
      </c>
      <c r="E11" s="6">
        <v>2676.7</v>
      </c>
      <c r="F11" s="6">
        <v>403</v>
      </c>
      <c r="G11" s="6">
        <v>1114.0999999999999</v>
      </c>
    </row>
    <row r="12" spans="1:7" s="4" customFormat="1" x14ac:dyDescent="0.5">
      <c r="A12" s="4">
        <v>2</v>
      </c>
      <c r="B12" s="4" t="s">
        <v>62</v>
      </c>
      <c r="C12" s="4">
        <v>2040</v>
      </c>
      <c r="D12" s="4">
        <v>-199</v>
      </c>
      <c r="E12" s="4">
        <v>2059</v>
      </c>
      <c r="F12" s="4">
        <v>310</v>
      </c>
      <c r="G12" s="4">
        <v>857</v>
      </c>
    </row>
    <row r="13" spans="1:7" x14ac:dyDescent="0.5">
      <c r="A13" s="6">
        <v>3</v>
      </c>
      <c r="B13" s="6" t="s">
        <v>63</v>
      </c>
      <c r="C13" s="6">
        <v>2040</v>
      </c>
      <c r="D13" s="6">
        <v>-199</v>
      </c>
      <c r="E13" s="6">
        <v>1441.3</v>
      </c>
      <c r="F13" s="6">
        <v>217</v>
      </c>
      <c r="G13" s="6">
        <v>599.9</v>
      </c>
    </row>
    <row r="14" spans="1:7" x14ac:dyDescent="0.5">
      <c r="A14" s="7">
        <v>1</v>
      </c>
      <c r="B14" s="7" t="s">
        <v>61</v>
      </c>
      <c r="C14" s="7">
        <v>2045</v>
      </c>
      <c r="D14" s="7">
        <v>-224</v>
      </c>
      <c r="E14" s="7">
        <f>E15*1.3</f>
        <v>2910.7000000000003</v>
      </c>
      <c r="F14" s="7">
        <f t="shared" ref="F14:G14" si="2">F15*1.3</f>
        <v>439.40000000000003</v>
      </c>
      <c r="G14" s="7">
        <f t="shared" si="2"/>
        <v>1211.6000000000001</v>
      </c>
    </row>
    <row r="15" spans="1:7" s="4" customFormat="1" x14ac:dyDescent="0.5">
      <c r="A15" s="4">
        <v>2</v>
      </c>
      <c r="B15" s="4" t="s">
        <v>62</v>
      </c>
      <c r="C15" s="4">
        <v>2045</v>
      </c>
      <c r="D15" s="4">
        <v>-224</v>
      </c>
      <c r="E15" s="4">
        <v>2239</v>
      </c>
      <c r="F15" s="4">
        <v>338</v>
      </c>
      <c r="G15" s="4">
        <v>932</v>
      </c>
    </row>
    <row r="16" spans="1:7" x14ac:dyDescent="0.5">
      <c r="A16" s="7">
        <v>3</v>
      </c>
      <c r="B16" s="7" t="s">
        <v>63</v>
      </c>
      <c r="C16" s="7">
        <v>2045</v>
      </c>
      <c r="D16" s="7">
        <v>-224</v>
      </c>
      <c r="E16" s="7">
        <f>E15*0.7</f>
        <v>1567.3</v>
      </c>
      <c r="F16" s="7">
        <f t="shared" ref="F16:G16" si="3">F15*0.7</f>
        <v>236.6</v>
      </c>
      <c r="G16" s="7">
        <f t="shared" si="3"/>
        <v>652.4</v>
      </c>
    </row>
    <row r="17" spans="1:7" x14ac:dyDescent="0.5">
      <c r="A17" s="8">
        <v>1</v>
      </c>
      <c r="B17" s="8" t="s">
        <v>61</v>
      </c>
      <c r="C17" s="8">
        <v>2050</v>
      </c>
      <c r="D17" s="8">
        <v>-228</v>
      </c>
      <c r="E17" s="8">
        <v>3168.1</v>
      </c>
      <c r="F17" s="8">
        <v>477.1</v>
      </c>
      <c r="G17" s="8">
        <v>1319.5</v>
      </c>
    </row>
    <row r="18" spans="1:7" s="4" customFormat="1" x14ac:dyDescent="0.5">
      <c r="A18" s="4">
        <v>2</v>
      </c>
      <c r="B18" s="4" t="s">
        <v>62</v>
      </c>
      <c r="C18" s="4">
        <v>2050</v>
      </c>
      <c r="D18" s="4">
        <v>-228</v>
      </c>
      <c r="E18" s="4">
        <v>2437</v>
      </c>
      <c r="F18" s="4">
        <v>367</v>
      </c>
      <c r="G18" s="4">
        <v>1015</v>
      </c>
    </row>
    <row r="19" spans="1:7" x14ac:dyDescent="0.5">
      <c r="A19" s="8">
        <v>3</v>
      </c>
      <c r="B19" s="8" t="s">
        <v>63</v>
      </c>
      <c r="C19" s="8">
        <v>2050</v>
      </c>
      <c r="D19" s="8">
        <v>-228</v>
      </c>
      <c r="E19" s="8">
        <v>1705.9</v>
      </c>
      <c r="F19" s="8">
        <v>256.89999999999998</v>
      </c>
      <c r="G19" s="8">
        <v>710.5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"/>
  <sheetViews>
    <sheetView zoomScale="156" zoomScaleNormal="250" workbookViewId="0">
      <selection activeCell="D4" sqref="D4"/>
    </sheetView>
  </sheetViews>
  <sheetFormatPr defaultColWidth="11.1875" defaultRowHeight="15.75" x14ac:dyDescent="0.5"/>
  <sheetData>
    <row r="1" spans="1:4" x14ac:dyDescent="0.5">
      <c r="A1" t="s">
        <v>64</v>
      </c>
      <c r="B1" s="5" t="s">
        <v>65</v>
      </c>
      <c r="C1" s="5" t="s">
        <v>66</v>
      </c>
      <c r="D1" s="5" t="s">
        <v>67</v>
      </c>
    </row>
    <row r="2" spans="1:4" x14ac:dyDescent="0.5">
      <c r="A2" s="5" t="s">
        <v>61</v>
      </c>
      <c r="B2">
        <v>0.9</v>
      </c>
      <c r="C2">
        <v>0.09</v>
      </c>
      <c r="D2">
        <v>0.01</v>
      </c>
    </row>
    <row r="3" spans="1:4" x14ac:dyDescent="0.5">
      <c r="A3" s="5" t="s">
        <v>62</v>
      </c>
      <c r="B3">
        <v>0.05</v>
      </c>
      <c r="C3">
        <v>0.9</v>
      </c>
      <c r="D3">
        <v>0.05</v>
      </c>
    </row>
    <row r="4" spans="1:4" x14ac:dyDescent="0.5">
      <c r="A4" s="5" t="s">
        <v>63</v>
      </c>
      <c r="B4">
        <v>0.01</v>
      </c>
      <c r="C4">
        <v>0.09</v>
      </c>
      <c r="D4">
        <v>0.9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"/>
  <sheetViews>
    <sheetView workbookViewId="0">
      <selection activeCell="E30" sqref="E30"/>
    </sheetView>
  </sheetViews>
  <sheetFormatPr defaultColWidth="11.1875" defaultRowHeight="15.75" x14ac:dyDescent="0.5"/>
  <cols>
    <col min="1" max="2" width="15.3125" bestFit="1" customWidth="1"/>
    <col min="3" max="3" width="15.3125" customWidth="1"/>
    <col min="4" max="4" width="15.3125" bestFit="1" customWidth="1"/>
    <col min="5" max="5" width="15.3125" customWidth="1"/>
    <col min="6" max="6" width="15.3125" bestFit="1" customWidth="1"/>
  </cols>
  <sheetData>
    <row r="1" spans="1:7" x14ac:dyDescent="0.5">
      <c r="A1" t="s">
        <v>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5">
      <c r="A2" t="s">
        <v>92</v>
      </c>
      <c r="B2">
        <v>1330</v>
      </c>
      <c r="C2">
        <v>1581</v>
      </c>
      <c r="D2">
        <v>1789</v>
      </c>
      <c r="E2">
        <v>2024</v>
      </c>
      <c r="F2">
        <v>2290</v>
      </c>
      <c r="G2">
        <v>2591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"/>
  <sheetViews>
    <sheetView workbookViewId="0">
      <selection activeCell="C5" sqref="C5"/>
    </sheetView>
  </sheetViews>
  <sheetFormatPr defaultColWidth="11.1875" defaultRowHeight="15.75" x14ac:dyDescent="0.5"/>
  <cols>
    <col min="2" max="2" width="15.6875" bestFit="1" customWidth="1"/>
    <col min="3" max="3" width="14.25" bestFit="1" customWidth="1"/>
  </cols>
  <sheetData>
    <row r="1" spans="1:8" x14ac:dyDescent="0.5">
      <c r="A1" t="s">
        <v>68</v>
      </c>
      <c r="B1" t="s">
        <v>101</v>
      </c>
      <c r="C1">
        <v>2023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8" x14ac:dyDescent="0.5">
      <c r="A2">
        <v>1</v>
      </c>
      <c r="B2" t="s">
        <v>69</v>
      </c>
      <c r="C2">
        <v>1</v>
      </c>
      <c r="D2">
        <v>1.04</v>
      </c>
      <c r="E2">
        <v>1.06</v>
      </c>
      <c r="F2">
        <v>1.08</v>
      </c>
      <c r="G2">
        <v>1.1000000000000001</v>
      </c>
      <c r="H2">
        <v>1.1200000000000001</v>
      </c>
    </row>
    <row r="3" spans="1:8" x14ac:dyDescent="0.5">
      <c r="A3">
        <v>2</v>
      </c>
      <c r="B3" t="s">
        <v>70</v>
      </c>
      <c r="C3">
        <v>1</v>
      </c>
      <c r="D3">
        <v>0.9</v>
      </c>
      <c r="E3">
        <v>0.875</v>
      </c>
      <c r="F3">
        <v>0.85</v>
      </c>
      <c r="G3">
        <v>0.82499999999999996</v>
      </c>
      <c r="H3">
        <v>0.8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2409B-616B-4929-9692-74AC98DC6CF7}">
  <dimension ref="A1:G5"/>
  <sheetViews>
    <sheetView workbookViewId="0">
      <selection activeCell="A7" sqref="A7"/>
    </sheetView>
  </sheetViews>
  <sheetFormatPr defaultRowHeight="15.75" x14ac:dyDescent="0.5"/>
  <cols>
    <col min="1" max="1" width="25.6875" bestFit="1" customWidth="1"/>
  </cols>
  <sheetData>
    <row r="1" spans="1:7" x14ac:dyDescent="0.5">
      <c r="A1" t="s">
        <v>100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5">
      <c r="A2" t="s">
        <v>36</v>
      </c>
      <c r="B2">
        <v>4</v>
      </c>
      <c r="C2">
        <v>4.9000000000000004</v>
      </c>
      <c r="D2">
        <v>4.9000000000000004</v>
      </c>
      <c r="E2">
        <v>6</v>
      </c>
      <c r="F2">
        <v>6.2</v>
      </c>
      <c r="G2">
        <v>6.2</v>
      </c>
    </row>
    <row r="3" spans="1:7" x14ac:dyDescent="0.5">
      <c r="A3" t="s">
        <v>37</v>
      </c>
      <c r="B3">
        <v>3.6</v>
      </c>
      <c r="C3">
        <v>4.3</v>
      </c>
      <c r="D3">
        <v>4.3</v>
      </c>
      <c r="E3">
        <v>5</v>
      </c>
      <c r="F3">
        <v>5.5</v>
      </c>
      <c r="G3">
        <v>5.5</v>
      </c>
    </row>
    <row r="4" spans="1:7" x14ac:dyDescent="0.5">
      <c r="A4" t="s">
        <v>38</v>
      </c>
      <c r="B4">
        <v>3.7</v>
      </c>
      <c r="C4">
        <v>4.0999999999999996</v>
      </c>
      <c r="D4">
        <v>4.0999999999999996</v>
      </c>
      <c r="E4">
        <v>4.8</v>
      </c>
      <c r="F4">
        <v>5.3</v>
      </c>
      <c r="G4">
        <v>5.3</v>
      </c>
    </row>
    <row r="5" spans="1:7" x14ac:dyDescent="0.5">
      <c r="A5" t="s">
        <v>28</v>
      </c>
      <c r="B5">
        <v>3.6</v>
      </c>
      <c r="C5">
        <v>4</v>
      </c>
      <c r="D5">
        <v>4</v>
      </c>
      <c r="E5">
        <v>4.5999999999999996</v>
      </c>
      <c r="F5">
        <v>4.9000000000000004</v>
      </c>
      <c r="G5">
        <v>4.9000000000000004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3"/>
  <sheetViews>
    <sheetView workbookViewId="0">
      <selection activeCell="C3" sqref="C3"/>
    </sheetView>
  </sheetViews>
  <sheetFormatPr defaultColWidth="11.1875" defaultRowHeight="15.75" x14ac:dyDescent="0.5"/>
  <sheetData>
    <row r="1" spans="1:3" x14ac:dyDescent="0.5">
      <c r="A1" t="s">
        <v>68</v>
      </c>
      <c r="B1" t="s">
        <v>55</v>
      </c>
      <c r="C1" t="s">
        <v>71</v>
      </c>
    </row>
    <row r="2" spans="1:3" x14ac:dyDescent="0.5">
      <c r="A2">
        <v>1</v>
      </c>
      <c r="B2" t="s">
        <v>69</v>
      </c>
      <c r="C2">
        <v>0.5</v>
      </c>
    </row>
    <row r="3" spans="1:3" x14ac:dyDescent="0.5">
      <c r="A3">
        <v>2</v>
      </c>
      <c r="B3" t="s">
        <v>70</v>
      </c>
      <c r="C3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1"/>
  <sheetViews>
    <sheetView workbookViewId="0">
      <selection activeCell="D15" sqref="D15"/>
    </sheetView>
  </sheetViews>
  <sheetFormatPr defaultColWidth="10.6875" defaultRowHeight="15.75" x14ac:dyDescent="0.5"/>
  <cols>
    <col min="1" max="1" width="25.0625" bestFit="1" customWidth="1"/>
  </cols>
  <sheetData>
    <row r="1" spans="1:7" x14ac:dyDescent="0.5">
      <c r="A1" t="s">
        <v>95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5">
      <c r="A2" t="s">
        <v>26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5">
      <c r="A3" t="s">
        <v>35</v>
      </c>
      <c r="B3">
        <v>275</v>
      </c>
      <c r="C3">
        <v>83</v>
      </c>
      <c r="D3">
        <v>0</v>
      </c>
      <c r="E3">
        <v>0</v>
      </c>
      <c r="F3">
        <v>0</v>
      </c>
      <c r="G3">
        <v>0</v>
      </c>
    </row>
    <row r="4" spans="1:7" x14ac:dyDescent="0.5">
      <c r="A4" t="s">
        <v>36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 x14ac:dyDescent="0.5">
      <c r="A5" t="s">
        <v>37</v>
      </c>
      <c r="B5">
        <v>220</v>
      </c>
      <c r="C5">
        <v>189</v>
      </c>
      <c r="D5">
        <v>31</v>
      </c>
      <c r="E5">
        <v>0</v>
      </c>
      <c r="F5">
        <v>0</v>
      </c>
      <c r="G5">
        <v>0</v>
      </c>
    </row>
    <row r="6" spans="1:7" x14ac:dyDescent="0.5">
      <c r="A6" t="s">
        <v>31</v>
      </c>
      <c r="B6">
        <v>522</v>
      </c>
      <c r="C6">
        <v>490</v>
      </c>
      <c r="D6">
        <v>436</v>
      </c>
      <c r="E6">
        <v>414</v>
      </c>
      <c r="F6">
        <v>207</v>
      </c>
      <c r="G6">
        <v>0</v>
      </c>
    </row>
    <row r="7" spans="1:7" x14ac:dyDescent="0.5">
      <c r="A7" t="s">
        <v>38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5">
      <c r="A8" t="s">
        <v>28</v>
      </c>
      <c r="B8">
        <v>320</v>
      </c>
      <c r="C8">
        <v>243</v>
      </c>
      <c r="D8">
        <v>10</v>
      </c>
      <c r="E8">
        <v>0</v>
      </c>
      <c r="F8">
        <v>0</v>
      </c>
      <c r="G8">
        <v>0</v>
      </c>
    </row>
    <row r="9" spans="1:7" x14ac:dyDescent="0.5">
      <c r="A9" t="s">
        <v>29</v>
      </c>
      <c r="B9">
        <v>185</v>
      </c>
      <c r="C9">
        <v>185</v>
      </c>
      <c r="D9">
        <v>93</v>
      </c>
      <c r="E9">
        <v>0</v>
      </c>
      <c r="F9">
        <v>0</v>
      </c>
      <c r="G9">
        <v>0</v>
      </c>
    </row>
    <row r="10" spans="1:7" x14ac:dyDescent="0.5">
      <c r="A10" t="s">
        <v>33</v>
      </c>
      <c r="B10">
        <v>1714</v>
      </c>
      <c r="C10">
        <v>1540</v>
      </c>
      <c r="D10">
        <v>783</v>
      </c>
      <c r="E10">
        <v>140</v>
      </c>
      <c r="F10">
        <v>40</v>
      </c>
      <c r="G10">
        <v>0</v>
      </c>
    </row>
    <row r="11" spans="1:7" x14ac:dyDescent="0.5">
      <c r="A11" t="s">
        <v>24</v>
      </c>
      <c r="B11">
        <v>334</v>
      </c>
      <c r="C11">
        <v>320</v>
      </c>
      <c r="D11">
        <v>286</v>
      </c>
      <c r="E11">
        <v>160</v>
      </c>
      <c r="F11">
        <v>27</v>
      </c>
      <c r="G1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3"/>
  <sheetViews>
    <sheetView workbookViewId="0">
      <selection activeCell="B3" sqref="B3"/>
    </sheetView>
  </sheetViews>
  <sheetFormatPr defaultColWidth="10.6875" defaultRowHeight="15.75" x14ac:dyDescent="0.5"/>
  <cols>
    <col min="1" max="1" width="13.9375" bestFit="1" customWidth="1"/>
  </cols>
  <sheetData>
    <row r="1" spans="1:7" x14ac:dyDescent="0.5">
      <c r="A1" t="s">
        <v>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5">
      <c r="A2" t="s">
        <v>84</v>
      </c>
      <c r="B2">
        <v>0.9</v>
      </c>
      <c r="C2">
        <v>0.71</v>
      </c>
      <c r="D2">
        <v>0.62</v>
      </c>
      <c r="E2">
        <v>0.56999999999999995</v>
      </c>
      <c r="F2">
        <v>0.53</v>
      </c>
      <c r="G2">
        <v>0.5</v>
      </c>
    </row>
    <row r="3" spans="1:7" x14ac:dyDescent="0.5">
      <c r="A3" t="s">
        <v>85</v>
      </c>
      <c r="B3">
        <v>0.32400000000000001</v>
      </c>
      <c r="C3">
        <v>0.27</v>
      </c>
      <c r="D3">
        <v>0.23</v>
      </c>
      <c r="E3">
        <v>0.20499999999999999</v>
      </c>
      <c r="F3">
        <v>0.17599999999999999</v>
      </c>
      <c r="G3">
        <v>0.151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"/>
  <sheetViews>
    <sheetView workbookViewId="0">
      <selection activeCell="A2" sqref="A2"/>
    </sheetView>
  </sheetViews>
  <sheetFormatPr defaultColWidth="10.6875" defaultRowHeight="15.75" x14ac:dyDescent="0.5"/>
  <sheetData>
    <row r="1" spans="1:7" x14ac:dyDescent="0.5">
      <c r="A1" t="s">
        <v>0</v>
      </c>
      <c r="B1">
        <v>2023</v>
      </c>
      <c r="C1">
        <v>2030</v>
      </c>
      <c r="D1">
        <v>2035</v>
      </c>
      <c r="E1">
        <v>2040</v>
      </c>
      <c r="F1">
        <v>2045</v>
      </c>
      <c r="G1">
        <v>2050</v>
      </c>
    </row>
    <row r="2" spans="1:7" x14ac:dyDescent="0.5">
      <c r="A2" t="s">
        <v>93</v>
      </c>
      <c r="B2">
        <v>8547.2199999999993</v>
      </c>
      <c r="C2">
        <v>6524.44</v>
      </c>
      <c r="D2">
        <v>5303.61</v>
      </c>
      <c r="E2">
        <v>4429.72</v>
      </c>
      <c r="F2">
        <v>3637.5</v>
      </c>
      <c r="G2">
        <v>3034.12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5"/>
  <sheetViews>
    <sheetView zoomScale="133" workbookViewId="0">
      <selection activeCell="C8" sqref="C8"/>
    </sheetView>
  </sheetViews>
  <sheetFormatPr defaultColWidth="10.6875" defaultRowHeight="15.75" x14ac:dyDescent="0.5"/>
  <cols>
    <col min="1" max="1" width="13.0625" bestFit="1" customWidth="1"/>
    <col min="2" max="2" width="9.8125" bestFit="1" customWidth="1"/>
    <col min="3" max="3" width="17.0625" bestFit="1" customWidth="1"/>
    <col min="4" max="4" width="18.4375" bestFit="1" customWidth="1"/>
    <col min="5" max="5" width="12.8125" bestFit="1" customWidth="1"/>
    <col min="6" max="6" width="10" bestFit="1" customWidth="1"/>
  </cols>
  <sheetData>
    <row r="1" spans="1:6" x14ac:dyDescent="0.5">
      <c r="A1" t="s">
        <v>68</v>
      </c>
      <c r="B1" t="s">
        <v>96</v>
      </c>
      <c r="C1" t="s">
        <v>97</v>
      </c>
      <c r="D1" t="s">
        <v>98</v>
      </c>
      <c r="E1" t="s">
        <v>99</v>
      </c>
      <c r="F1" t="s">
        <v>55</v>
      </c>
    </row>
    <row r="2" spans="1:6" x14ac:dyDescent="0.5">
      <c r="A2" t="s">
        <v>72</v>
      </c>
      <c r="B2">
        <v>0.94</v>
      </c>
      <c r="C2">
        <v>1</v>
      </c>
      <c r="D2">
        <v>1</v>
      </c>
      <c r="E2">
        <v>1</v>
      </c>
      <c r="F2" t="s">
        <v>73</v>
      </c>
    </row>
    <row r="3" spans="1:6" x14ac:dyDescent="0.5">
      <c r="A3" t="s">
        <v>74</v>
      </c>
      <c r="B3">
        <v>0.03</v>
      </c>
      <c r="C3">
        <v>1.2</v>
      </c>
      <c r="D3">
        <v>1</v>
      </c>
      <c r="E3">
        <v>1</v>
      </c>
      <c r="F3" t="s">
        <v>75</v>
      </c>
    </row>
    <row r="4" spans="1:6" x14ac:dyDescent="0.5">
      <c r="A4" t="s">
        <v>76</v>
      </c>
      <c r="B4">
        <v>0.02</v>
      </c>
      <c r="C4">
        <v>1</v>
      </c>
      <c r="D4">
        <v>2</v>
      </c>
      <c r="E4">
        <v>1</v>
      </c>
      <c r="F4" t="s">
        <v>77</v>
      </c>
    </row>
    <row r="5" spans="1:6" x14ac:dyDescent="0.5">
      <c r="A5" t="s">
        <v>78</v>
      </c>
      <c r="B5">
        <v>0.01</v>
      </c>
      <c r="C5">
        <v>1</v>
      </c>
      <c r="D5">
        <v>1</v>
      </c>
      <c r="E5">
        <v>0</v>
      </c>
      <c r="F5" t="s">
        <v>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"/>
  <sheetViews>
    <sheetView workbookViewId="0">
      <selection activeCell="C15" sqref="C15"/>
    </sheetView>
  </sheetViews>
  <sheetFormatPr defaultColWidth="10.6875" defaultRowHeight="15.75" x14ac:dyDescent="0.5"/>
  <cols>
    <col min="1" max="1" width="20.6875" bestFit="1" customWidth="1"/>
  </cols>
  <sheetData>
    <row r="1" spans="1:3" x14ac:dyDescent="0.5">
      <c r="A1" t="s">
        <v>0</v>
      </c>
      <c r="B1" t="s">
        <v>1</v>
      </c>
      <c r="C1" t="s">
        <v>55</v>
      </c>
    </row>
    <row r="2" spans="1:3" x14ac:dyDescent="0.5">
      <c r="A2" t="s">
        <v>80</v>
      </c>
      <c r="B2" t="b">
        <v>0</v>
      </c>
      <c r="C2" t="s">
        <v>81</v>
      </c>
    </row>
    <row r="3" spans="1:3" x14ac:dyDescent="0.5">
      <c r="A3" t="s">
        <v>82</v>
      </c>
      <c r="B3">
        <v>2</v>
      </c>
      <c r="C3" t="s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ModelConfig</vt:lpstr>
      <vt:lpstr>Technologies</vt:lpstr>
      <vt:lpstr>CapacityLimits</vt:lpstr>
      <vt:lpstr>Storage</vt:lpstr>
      <vt:lpstr>EnergyCarriers</vt:lpstr>
      <vt:lpstr>Emission_Factor_for_electricity</vt:lpstr>
      <vt:lpstr>EnergyPriceMap</vt:lpstr>
      <vt:lpstr>EnergyTransitions</vt:lpstr>
      <vt:lpstr>CarbonTrajectory</vt:lpstr>
      <vt:lpstr>TemperatureScenarios</vt:lpstr>
      <vt:lpstr>HeatPumpCOP</vt:lpstr>
      <vt:lpstr>TemperatureProbabilities</vt:lpstr>
      <vt:lpstr>ExistingCapacitySchedule</vt:lpstr>
      <vt:lpstr>WasteChpEfficiency</vt:lpstr>
      <vt:lpstr>WasteAvailability</vt:lpstr>
      <vt:lpstr>ExtremeEvents</vt:lpstr>
      <vt:lpstr>ExtremeEventControl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XLSX.jl</dc:creator>
  <cp:lastModifiedBy>Kök, Ali</cp:lastModifiedBy>
  <dcterms:created xsi:type="dcterms:W3CDTF">2018-05-22T02:41:32Z</dcterms:created>
  <dcterms:modified xsi:type="dcterms:W3CDTF">2026-01-05T20:41:55Z</dcterms:modified>
</cp:coreProperties>
</file>