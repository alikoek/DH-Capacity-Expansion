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4"/>
  <workbookPr/>
  <mc:AlternateContent xmlns:mc="http://schemas.openxmlformats.org/markup-compatibility/2006">
    <mc:Choice Requires="x15">
      <x15ac:absPath xmlns:x15ac="http://schemas.microsoft.com/office/spreadsheetml/2010/11/ac" url="/Users/jonathanhachez/Documents/ongoing - DHN_expansion/data/"/>
    </mc:Choice>
  </mc:AlternateContent>
  <xr:revisionPtr revIDLastSave="0" documentId="13_ncr:1_{49ABD371-D2FC-3B48-84C2-48AB47D892AB}" xr6:coauthVersionLast="47" xr6:coauthVersionMax="47" xr10:uidLastSave="{00000000-0000-0000-0000-000000000000}"/>
  <bookViews>
    <workbookView xWindow="-30220" yWindow="-6640" windowWidth="28020" windowHeight="21800" activeTab="5" xr2:uid="{00000000-000D-0000-FFFF-FFFF00000000}"/>
  </bookViews>
  <sheets>
    <sheet name="ModelConfig" sheetId="1" r:id="rId1"/>
    <sheet name="ListPeriods" sheetId="11" r:id="rId2"/>
    <sheet name="ListPriceScenarios" sheetId="12" r:id="rId3"/>
    <sheet name="ListPolicyScenarios" sheetId="13" r:id="rId4"/>
    <sheet name="ListCarriers" sheetId="14" r:id="rId5"/>
    <sheet name="Technologies" sheetId="2" r:id="rId6"/>
    <sheet name="Storage" sheetId="3" r:id="rId7"/>
    <sheet name="EmissionFactors" sheetId="4" r:id="rId8"/>
    <sheet name="EmissionFactorElectricity" sheetId="10" r:id="rId9"/>
    <sheet name="EnergyPriceMap" sheetId="5" r:id="rId10"/>
    <sheet name="CarbonTrajectories" sheetId="7" r:id="rId11"/>
    <sheet name="PriceTransitions" sheetId="6" r:id="rId12"/>
    <sheet name="CarbonProbabilities" sheetId="8" r:id="rId13"/>
    <sheet name="DemandUncertainty" sheetId="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tc={6726280B-D021-F648-BE2E-BD0FEF7ADB05}</author>
  </authors>
  <commentList>
    <comment ref="D2" authorId="0" shapeId="0" xr:uid="{6726280B-D021-F648-BE2E-BD0FEF7ADB05}">
      <text>
        <t>[Threaded comment]
Your version of Excel allows you to read this threaded comment; however, any edits to it will get removed if the file is opened in a newer version of Excel. Learn more: https://go.microsoft.com/fwlink/?linkid=870924
Comment:
    EUR values converted to SEK by multiplying by 10,92</t>
      </text>
    </comment>
  </commentList>
</comments>
</file>

<file path=xl/sharedStrings.xml><?xml version="1.0" encoding="utf-8"?>
<sst xmlns="http://schemas.openxmlformats.org/spreadsheetml/2006/main" count="435" uniqueCount="83">
  <si>
    <t>multiplier</t>
  </si>
  <si>
    <t>probability</t>
  </si>
  <si>
    <t>description</t>
  </si>
  <si>
    <t>High demand</t>
  </si>
  <si>
    <t>Normal demand</t>
  </si>
  <si>
    <t>Low demand</t>
  </si>
  <si>
    <t>scenario</t>
  </si>
  <si>
    <t>Current policy</t>
  </si>
  <si>
    <t>Net-zero path</t>
  </si>
  <si>
    <t>Delayed action</t>
  </si>
  <si>
    <t>carrier</t>
  </si>
  <si>
    <t>elec</t>
  </si>
  <si>
    <t>parameter</t>
  </si>
  <si>
    <t>value</t>
  </si>
  <si>
    <t>loss_rate</t>
  </si>
  <si>
    <t>max_charge_rate</t>
  </si>
  <si>
    <t>max_discharge_rate</t>
  </si>
  <si>
    <t>technology</t>
  </si>
  <si>
    <t>efficiency_th</t>
  </si>
  <si>
    <t>efficiency_el</t>
  </si>
  <si>
    <t>energy_carrier</t>
  </si>
  <si>
    <t>lifetime_new</t>
  </si>
  <si>
    <t>lifetime_initial</t>
  </si>
  <si>
    <t>T</t>
  </si>
  <si>
    <t>T_years</t>
  </si>
  <si>
    <t>discount_rate</t>
  </si>
  <si>
    <t>base_annual_demand</t>
  </si>
  <si>
    <t>salvage_fraction</t>
  </si>
  <si>
    <t>c_penalty</t>
  </si>
  <si>
    <t>elec_taxes_levies</t>
  </si>
  <si>
    <t>unit</t>
  </si>
  <si>
    <t>SEK/MWh</t>
  </si>
  <si>
    <t>Waste_CHP</t>
  </si>
  <si>
    <t>BioOil_Boiler</t>
  </si>
  <si>
    <t>waste</t>
  </si>
  <si>
    <t>bio_oil</t>
  </si>
  <si>
    <t>initial_capacity[MW_th]</t>
  </si>
  <si>
    <t>max_additional_capacity[MW_th]</t>
  </si>
  <si>
    <t>investment_cost[MSEK/MW_th]</t>
  </si>
  <si>
    <t>fixed_om[MSEK/MW_th]</t>
  </si>
  <si>
    <t>variable_om[SEK/MWh_th]</t>
  </si>
  <si>
    <t>year</t>
  </si>
  <si>
    <t>years</t>
  </si>
  <si>
    <t>representative model years</t>
  </si>
  <si>
    <t>MWh_th</t>
  </si>
  <si>
    <t>SeaWater_HeatPump</t>
  </si>
  <si>
    <t>BioOil_CHP</t>
  </si>
  <si>
    <t>Electric_Boiler</t>
  </si>
  <si>
    <t>BioPellet_CHP</t>
  </si>
  <si>
    <t>WoodChip_CHP</t>
  </si>
  <si>
    <t>WasteWater_HeatPump</t>
  </si>
  <si>
    <t>LowTempSources_HeatPump</t>
  </si>
  <si>
    <t>wood_chips</t>
  </si>
  <si>
    <t>DataCenter_HeatPump</t>
  </si>
  <si>
    <t>bio_waste</t>
  </si>
  <si>
    <t>Pit</t>
  </si>
  <si>
    <t>period</t>
  </si>
  <si>
    <t>price</t>
  </si>
  <si>
    <t>low</t>
  </si>
  <si>
    <t>high</t>
  </si>
  <si>
    <t>weak</t>
  </si>
  <si>
    <t>usual</t>
  </si>
  <si>
    <t>strong</t>
  </si>
  <si>
    <t>storage</t>
  </si>
  <si>
    <t>policy</t>
  </si>
  <si>
    <t>emission_factor</t>
  </si>
  <si>
    <t>tCO2/MWh</t>
  </si>
  <si>
    <t>CO2tax</t>
  </si>
  <si>
    <t>SEK/tCO2</t>
  </si>
  <si>
    <t>mid</t>
  </si>
  <si>
    <t>full_name</t>
  </si>
  <si>
    <t>Heat pump - seawater</t>
  </si>
  <si>
    <t>Boiler - electricty</t>
  </si>
  <si>
    <t>CHP - waste</t>
  </si>
  <si>
    <t>CHP - pellets</t>
  </si>
  <si>
    <t>CHP - wood chips</t>
  </si>
  <si>
    <t>Boiler - biodiesel</t>
  </si>
  <si>
    <t>CHP - biodiesel</t>
  </si>
  <si>
    <t>Heat pump - datacenter</t>
  </si>
  <si>
    <t>Heat pump - waste water</t>
  </si>
  <si>
    <t>Heat pump - low temperature source</t>
  </si>
  <si>
    <t>max_capacity[MW_th]</t>
  </si>
  <si>
    <t>initial_capacity[MW_th]2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</si>
</sst>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</borders>
  <cellStyleXfs count="2">
    <xf numFmtId="0" fontId="0" fillId="0" borderId="0"/>
    <xf numFmtId="0" fontId="2" fillId="0" borderId="1"/>
  </cellStyleXfs>
  <cellXfs count="32">
    <xf numFmtId="0" fontId="0" fillId="0" borderId="0" xfId="0"/>
    <xf numFmtId="4" fontId="0" fillId="0" borderId="0" xfId="0" applyNumberFormat="1" applyAlignment="1">
      <alignment horizontal="right"/>
    </xf>
    <xf numFmtId="4" fontId="1" fillId="0" borderId="1" xfId="0" applyNumberFormat="1" applyFont="1" applyBorder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right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2" fillId="0" borderId="1" xfId="1" applyAlignment="1">
      <alignment horizontal="center" vertical="center"/>
    </xf>
    <xf numFmtId="0" fontId="2" fillId="0" borderId="1" xfId="1"/>
    <xf numFmtId="0" fontId="3" fillId="0" borderId="1" xfId="1" applyFont="1" applyAlignment="1">
      <alignment horizontal="center" vertical="center"/>
    </xf>
    <xf numFmtId="4" fontId="0" fillId="0" borderId="0" xfId="0" applyNumberFormat="1"/>
    <xf numFmtId="0" fontId="1" fillId="0" borderId="1" xfId="0" applyFont="1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1" fillId="2" borderId="1" xfId="0" applyFon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6" xfId="0" applyNumberFormat="1" applyBorder="1"/>
    <xf numFmtId="164" fontId="0" fillId="0" borderId="6" xfId="0" applyNumberFormat="1" applyBorder="1" applyAlignment="1">
      <alignment horizontal="right"/>
    </xf>
    <xf numFmtId="3" fontId="0" fillId="0" borderId="1" xfId="0" applyNumberFormat="1" applyBorder="1" applyAlignment="1">
      <alignment horizontal="right"/>
    </xf>
    <xf numFmtId="164" fontId="0" fillId="0" borderId="7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3" fontId="0" fillId="0" borderId="8" xfId="0" applyNumberFormat="1" applyBorder="1" applyAlignment="1">
      <alignment horizontal="right"/>
    </xf>
    <xf numFmtId="3" fontId="0" fillId="0" borderId="9" xfId="0" applyNumberFormat="1" applyBorder="1" applyAlignment="1">
      <alignment horizontal="right"/>
    </xf>
    <xf numFmtId="3" fontId="1" fillId="0" borderId="0" xfId="0" applyNumberFormat="1" applyFont="1" applyAlignment="1">
      <alignment horizontal="right"/>
    </xf>
    <xf numFmtId="3" fontId="0" fillId="0" borderId="0" xfId="0" applyNumberFormat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1" fontId="1" fillId="0" borderId="1" xfId="0" applyNumberFormat="1" applyFont="1" applyBorder="1" applyAlignment="1">
      <alignment horizontal="right"/>
    </xf>
  </cellXfs>
  <cellStyles count="2">
    <cellStyle name="Normal" xfId="0" builtinId="0"/>
    <cellStyle name="Normal 2" xfId="1" xr:uid="{127FEE2A-CF76-4986-A4BC-3363233C8C76}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4" tint="0.79998168889431442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numFmt numFmtId="164" formatCode="0.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righ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ök, Ali" id="{225DE312-2597-4284-8E1A-4635D93CA1E7}" userId="S::ali.koek@tuwien.ac.at::cf6fa925-1299-4444-9ac8-ff6284848d5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F6216C-F725-4A40-96FC-5D15647CF812}" name="Table2" displayName="Table2" ref="A1:A7" totalsRowShown="0">
  <autoFilter ref="A1:A7" xr:uid="{FAF6216C-F725-4A40-96FC-5D15647CF812}"/>
  <tableColumns count="1">
    <tableColumn id="1" xr3:uid="{C381D0D6-DB33-BC49-AC66-ADB74ACA20EF}" name="perio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626484-85AF-5041-957F-E85DA4C25AB2}" name="Table3" displayName="Table3" ref="A1:A4" totalsRowShown="0">
  <autoFilter ref="A1:A4" xr:uid="{8B626484-85AF-5041-957F-E85DA4C25AB2}"/>
  <tableColumns count="1">
    <tableColumn id="1" xr3:uid="{C36B60D9-30A8-5442-A73D-A5A1B9BF4E4E}" name="pric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7AB5FC-614F-AC40-A946-5484D198EC66}" name="Table35" displayName="Table35" ref="A1:A4" totalsRowShown="0">
  <autoFilter ref="A1:A4" xr:uid="{817AB5FC-614F-AC40-A946-5484D198EC66}"/>
  <tableColumns count="1">
    <tableColumn id="1" xr3:uid="{14F03FE3-1DBD-7648-B650-E9D93D59107B}" name="pric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FC38AE-028C-A241-B2F3-27FC7C46409E}" name="Table12" displayName="Table12" ref="A1:A6" totalsRowShown="0">
  <autoFilter ref="A1:A6" xr:uid="{23FC38AE-028C-A241-B2F3-27FC7C46409E}"/>
  <tableColumns count="1">
    <tableColumn id="1" xr3:uid="{E6BF1DC7-0434-8C4D-AA18-0BE254498D36}" name="carrier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D882A81-F8DE-0144-93E2-00CF1002DDDF}" name="Table5" displayName="Table5" ref="A1:M11" totalsRowShown="0" headerRowDxfId="38" dataDxfId="37">
  <autoFilter ref="A1:M11" xr:uid="{FD882A81-F8DE-0144-93E2-00CF1002DDDF}"/>
  <tableColumns count="13">
    <tableColumn id="1" xr3:uid="{868DC66B-4871-9440-B784-62CA1C1DEB3D}" name="technology"/>
    <tableColumn id="2" xr3:uid="{F361D323-2AB7-3243-8BF6-C7B1ED8F5941}" name="full_name"/>
    <tableColumn id="3" xr3:uid="{79F346BB-FC78-FB4E-A9A0-FD4FA0309C2B}" name="max_additional_capacity[MW_th]" dataDxfId="36"/>
    <tableColumn id="13" xr3:uid="{D9CC6A1D-6089-954D-8367-F8C68B36B603}" name="max_capacity[MW_th]" dataDxfId="3"/>
    <tableColumn id="4" xr3:uid="{BDBFA7FD-003F-7F4F-A3B2-20981C777A55}" name="investment_cost[MSEK/MW_th]" dataDxfId="35"/>
    <tableColumn id="10" xr3:uid="{DFB17F4B-5A37-1642-8849-77F856E8018B}" name="lifetime_new" dataDxfId="34"/>
    <tableColumn id="5" xr3:uid="{BDDCBB70-2C99-684C-A9A9-EBC0FC0A84B2}" name="fixed_om[MSEK/MW_th]" dataDxfId="33"/>
    <tableColumn id="6" xr3:uid="{574866B3-F163-4D4C-B601-C51435C24A85}" name="variable_om[SEK/MWh_th]" dataDxfId="32"/>
    <tableColumn id="7" xr3:uid="{438E0D88-9265-1940-BB5E-BCE87F228216}" name="efficiency_th" dataDxfId="31"/>
    <tableColumn id="8" xr3:uid="{D00A978F-6086-4640-9ED7-C3C6D93C1328}" name="efficiency_el" dataDxfId="30"/>
    <tableColumn id="9" xr3:uid="{F52C573D-5B66-A44D-ADF2-A8B3E8C8B50A}" name="energy_carrier"/>
    <tableColumn id="11" xr3:uid="{C7994D6F-A295-D54A-A559-31FF5EEB1497}" name="lifetime_initial" dataDxfId="29"/>
    <tableColumn id="12" xr3:uid="{84DA6FDF-66A0-E342-A352-BDC029078C61}" name="initial_capacity[MW_th]" dataDxfId="2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C74C452-8F93-274C-BBE5-D923918973C5}" name="Table13" displayName="Table13" ref="A1:N2" totalsRowShown="0" dataDxfId="27">
  <autoFilter ref="A1:N2" xr:uid="{EC74C452-8F93-274C-BBE5-D923918973C5}"/>
  <tableColumns count="14">
    <tableColumn id="1" xr3:uid="{51FE7937-DD9C-1B47-BC9B-AF8784B94687}" name="storage" dataDxfId="26"/>
    <tableColumn id="2" xr3:uid="{6005D8F2-461A-974A-A102-9B614E3B3719}" name="investment_cost[MSEK/MW_th]" dataDxfId="25"/>
    <tableColumn id="12" xr3:uid="{2D22C2C7-26D5-5E40-B5BD-47CC13254944}" name="max_additional_capacity[MW_th]" dataDxfId="2"/>
    <tableColumn id="3" xr3:uid="{F509AE3C-A221-C742-AEE6-FE6CAFB8A0E7}" name="fixed_om[MSEK/MW_th]" dataDxfId="24"/>
    <tableColumn id="4" xr3:uid="{9758490E-650B-444A-8A8F-84BCA79A7747}" name="variable_om[SEK/MWh_th]" dataDxfId="23"/>
    <tableColumn id="5" xr3:uid="{1A4DBDAF-8B14-3643-A41D-54ED8796F76C}" name="efficiency_th" dataDxfId="22"/>
    <tableColumn id="6" xr3:uid="{4DFD5911-DFF8-C342-A6FF-8D0C33D3B6DF}" name="loss_rate" dataDxfId="21"/>
    <tableColumn id="7" xr3:uid="{CB5053F0-5DCB-894C-B961-052A85F59B48}" name="max_charge_rate" dataDxfId="20"/>
    <tableColumn id="8" xr3:uid="{84E99A4B-14DC-054A-BCE9-C59DD8F973D9}" name="max_discharge_rate" dataDxfId="19"/>
    <tableColumn id="9" xr3:uid="{64973AB7-F48F-E44E-8B39-C1923C7D742F}" name="lifetime_new" dataDxfId="18"/>
    <tableColumn id="10" xr3:uid="{8CB64883-5E67-5744-A208-1FFEDC61BAE4}" name="max_capacity[MW_th]" dataDxfId="17"/>
    <tableColumn id="11" xr3:uid="{69ECC3DD-1C3A-134D-AF1A-E30B40742C6A}" name="initial_capacity[MW_th]" dataDxfId="16"/>
    <tableColumn id="13" xr3:uid="{9861D714-A522-664E-BC10-1EAA1FD5D611}" name="lifetime_initial" dataDxfId="1"/>
    <tableColumn id="14" xr3:uid="{5AF5D246-D5AA-E245-B2BB-C2D6F90BB03D}" name="initial_capacity[MW_th]2" dataDxfId="0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8CCE58-DED8-A745-B8E8-1C0AE4CA34DC}" name="Table7" displayName="Table7" ref="A1:C6" totalsRowShown="0">
  <autoFilter ref="A1:C6" xr:uid="{E58CCE58-DED8-A745-B8E8-1C0AE4CA34DC}"/>
  <tableColumns count="3">
    <tableColumn id="1" xr3:uid="{77DE1095-08EA-6641-BC99-B1F93D145A4D}" name="carrier"/>
    <tableColumn id="2" xr3:uid="{B629A9C5-2AE8-D542-AB7D-0927CC815DD1}" name="emission_factor"/>
    <tableColumn id="3" xr3:uid="{E41A866C-AEDE-A449-85C8-C2E8ACD71D31}" name="uni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A4F4A7-F816-E641-997E-CA2D25BCBEF6}" name="Table1" displayName="Table1" ref="A1:C29" totalsRowShown="0">
  <autoFilter ref="A1:C29" xr:uid="{54A4F4A7-F816-E641-997E-CA2D25BCBEF6}"/>
  <tableColumns count="3">
    <tableColumn id="1" xr3:uid="{3BD6C692-C0CB-1F4A-A019-DE2E92CFAE2A}" name="year" dataDxfId="15" dataCellStyle="Normal 2"/>
    <tableColumn id="2" xr3:uid="{0F280846-49F5-934B-A810-2C62B04991E6}" name="emission_factor" dataCellStyle="Normal 2"/>
    <tableColumn id="3" xr3:uid="{42EC7625-FDAE-7643-B488-248E7A630D8A}" name="unit" dataCellStyle="Normal 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6B69B43-422C-874C-867E-51CB70F7989F}" name="Table8" displayName="Table8" ref="A1:E73" totalsRowShown="0" headerRowDxfId="14" dataDxfId="13">
  <autoFilter ref="A1:E73" xr:uid="{76B69B43-422C-874C-867E-51CB70F7989F}"/>
  <sortState xmlns:xlrd2="http://schemas.microsoft.com/office/spreadsheetml/2017/richdata2" ref="A2:E73">
    <sortCondition ref="B1:B73"/>
  </sortState>
  <tableColumns count="5">
    <tableColumn id="2" xr3:uid="{A137D309-D326-994A-9B80-E2B1EA0BB368}" name="price" dataDxfId="12"/>
    <tableColumn id="3" xr3:uid="{ADF79471-6D89-F34E-974D-2BF2389E4936}" name="year" dataDxfId="11"/>
    <tableColumn id="4" xr3:uid="{BA303E21-A160-F547-A428-749DB5EE1098}" name="carrier" dataDxfId="10"/>
    <tableColumn id="5" xr3:uid="{961B8F42-D0F4-1640-9AF5-EDD3B18C132E}" name="value" dataDxfId="9"/>
    <tableColumn id="6" xr3:uid="{40F2FE15-45B6-0743-9C61-FC51ACB800F7}" name="unit" dataDxfId="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E30E5B7-11E3-814C-85F7-241216FB886C}" name="Table11" displayName="Table11" ref="A1:E19" totalsRowShown="0">
  <autoFilter ref="A1:E19" xr:uid="{7E30E5B7-11E3-814C-85F7-241216FB886C}"/>
  <sortState xmlns:xlrd2="http://schemas.microsoft.com/office/spreadsheetml/2017/richdata2" ref="A2:D19">
    <sortCondition ref="A1:A19"/>
  </sortState>
  <tableColumns count="5">
    <tableColumn id="1" xr3:uid="{0905A90F-FAD4-E549-8039-012F5205C58D}" name="year" dataDxfId="7"/>
    <tableColumn id="2" xr3:uid="{E1999FA7-AEBD-8548-9355-D0D0D76818F0}" name="policy" dataDxfId="6"/>
    <tableColumn id="3" xr3:uid="{6EA135D0-86CB-624E-8F5F-4ABCC50202B6}" name="description"/>
    <tableColumn id="4" xr3:uid="{DC46E935-1502-0847-A45E-8023C0D521D5}" name="CO2tax" dataDxfId="5"/>
    <tableColumn id="5" xr3:uid="{35F30A3F-D67A-2C48-B688-C685E32D4D1F}" name="unit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5-10-24T14:22:12.17" personId="{225DE312-2597-4284-8E1A-4635D93CA1E7}" id="{6726280B-D021-F648-BE2E-BD0FEF7ADB05}">
    <text>EUR values converted to SEK by multiplying by 10,92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8"/>
  <sheetViews>
    <sheetView workbookViewId="0">
      <selection activeCell="B8" sqref="B8"/>
    </sheetView>
  </sheetViews>
  <sheetFormatPr baseColWidth="10" defaultColWidth="8.83203125" defaultRowHeight="15" x14ac:dyDescent="0.2"/>
  <cols>
    <col min="1" max="1" width="19" bestFit="1" customWidth="1"/>
    <col min="2" max="2" width="9.1640625" style="4" bestFit="1" customWidth="1"/>
    <col min="3" max="3" width="23.5" bestFit="1" customWidth="1"/>
  </cols>
  <sheetData>
    <row r="1" spans="1:3" ht="18.75" customHeight="1" x14ac:dyDescent="0.2">
      <c r="A1" s="6" t="s">
        <v>12</v>
      </c>
      <c r="B1" s="7" t="s">
        <v>13</v>
      </c>
      <c r="C1" s="6" t="s">
        <v>30</v>
      </c>
    </row>
    <row r="2" spans="1:3" ht="18.75" customHeight="1" x14ac:dyDescent="0.2">
      <c r="A2" t="s">
        <v>23</v>
      </c>
      <c r="B2" s="18">
        <f>COUNT(Table2[period])</f>
        <v>6</v>
      </c>
      <c r="C2" t="s">
        <v>43</v>
      </c>
    </row>
    <row r="3" spans="1:3" ht="18.75" customHeight="1" x14ac:dyDescent="0.2">
      <c r="A3" t="s">
        <v>24</v>
      </c>
      <c r="B3" s="18">
        <f>Table2[[#This Row],[period]]-ListPeriods!A2</f>
        <v>5</v>
      </c>
      <c r="C3" t="s">
        <v>42</v>
      </c>
    </row>
    <row r="4" spans="1:3" ht="18.75" customHeight="1" x14ac:dyDescent="0.2">
      <c r="A4" t="s">
        <v>25</v>
      </c>
      <c r="B4" s="15">
        <v>0.04</v>
      </c>
    </row>
    <row r="5" spans="1:3" ht="18.75" customHeight="1" x14ac:dyDescent="0.2">
      <c r="A5" t="s">
        <v>26</v>
      </c>
      <c r="B5" s="15">
        <v>7901900</v>
      </c>
      <c r="C5" t="s">
        <v>44</v>
      </c>
    </row>
    <row r="6" spans="1:3" ht="18.75" customHeight="1" x14ac:dyDescent="0.2">
      <c r="A6" t="s">
        <v>27</v>
      </c>
      <c r="B6" s="15">
        <v>0.9</v>
      </c>
    </row>
    <row r="7" spans="1:3" ht="18.75" customHeight="1" x14ac:dyDescent="0.2">
      <c r="A7" t="s">
        <v>28</v>
      </c>
      <c r="B7" s="31">
        <v>1000000</v>
      </c>
      <c r="C7" t="s">
        <v>31</v>
      </c>
    </row>
    <row r="8" spans="1:3" x14ac:dyDescent="0.2">
      <c r="A8" t="s">
        <v>29</v>
      </c>
      <c r="B8" s="19">
        <v>150</v>
      </c>
      <c r="C8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31AA1-67DA-FB44-B876-228A6288195C}">
  <dimension ref="A1:A7"/>
  <sheetViews>
    <sheetView workbookViewId="0">
      <selection sqref="A1:A7"/>
    </sheetView>
  </sheetViews>
  <sheetFormatPr baseColWidth="10" defaultRowHeight="15" x14ac:dyDescent="0.2"/>
  <sheetData>
    <row r="1" spans="1:1" x14ac:dyDescent="0.2">
      <c r="A1" t="s">
        <v>56</v>
      </c>
    </row>
    <row r="2" spans="1:1" x14ac:dyDescent="0.2">
      <c r="A2">
        <v>2025</v>
      </c>
    </row>
    <row r="3" spans="1:1" x14ac:dyDescent="0.2">
      <c r="A3">
        <v>2030</v>
      </c>
    </row>
    <row r="4" spans="1:1" x14ac:dyDescent="0.2">
      <c r="A4">
        <v>2035</v>
      </c>
    </row>
    <row r="5" spans="1:1" x14ac:dyDescent="0.2">
      <c r="A5">
        <v>2040</v>
      </c>
    </row>
    <row r="6" spans="1:1" x14ac:dyDescent="0.2">
      <c r="A6">
        <v>2045</v>
      </c>
    </row>
    <row r="7" spans="1:1" x14ac:dyDescent="0.2">
      <c r="A7">
        <v>2050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45FA3-4890-FF4C-A979-B8D8998DFB99}">
  <dimension ref="A1:A4"/>
  <sheetViews>
    <sheetView workbookViewId="0">
      <selection activeCell="A3" sqref="A3"/>
    </sheetView>
  </sheetViews>
  <sheetFormatPr baseColWidth="10" defaultRowHeight="15" x14ac:dyDescent="0.2"/>
  <sheetData>
    <row r="1" spans="1:1" x14ac:dyDescent="0.2">
      <c r="A1" t="s">
        <v>57</v>
      </c>
    </row>
    <row r="2" spans="1:1" x14ac:dyDescent="0.2">
      <c r="A2" t="s">
        <v>58</v>
      </c>
    </row>
    <row r="3" spans="1:1" x14ac:dyDescent="0.2">
      <c r="A3" t="s">
        <v>69</v>
      </c>
    </row>
    <row r="4" spans="1:1" x14ac:dyDescent="0.2">
      <c r="A4" t="s">
        <v>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42539-32F9-AB4A-AA6C-17DEA27A7340}">
  <dimension ref="A1:A4"/>
  <sheetViews>
    <sheetView workbookViewId="0">
      <selection activeCell="A4" sqref="A4"/>
    </sheetView>
  </sheetViews>
  <sheetFormatPr baseColWidth="10" defaultRowHeight="15" x14ac:dyDescent="0.2"/>
  <sheetData>
    <row r="1" spans="1:1" x14ac:dyDescent="0.2">
      <c r="A1" t="s">
        <v>57</v>
      </c>
    </row>
    <row r="2" spans="1:1" x14ac:dyDescent="0.2">
      <c r="A2" t="s">
        <v>60</v>
      </c>
    </row>
    <row r="3" spans="1:1" x14ac:dyDescent="0.2">
      <c r="A3" t="s">
        <v>61</v>
      </c>
    </row>
    <row r="4" spans="1:1" x14ac:dyDescent="0.2">
      <c r="A4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CAF23-80EA-2540-9E9D-BCB0DC43AE7B}">
  <dimension ref="A1:A6"/>
  <sheetViews>
    <sheetView workbookViewId="0">
      <selection activeCell="A2" sqref="A2"/>
    </sheetView>
  </sheetViews>
  <sheetFormatPr baseColWidth="10" defaultRowHeight="15" x14ac:dyDescent="0.2"/>
  <sheetData>
    <row r="1" spans="1:1" x14ac:dyDescent="0.2">
      <c r="A1" t="s">
        <v>10</v>
      </c>
    </row>
    <row r="2" spans="1:1" x14ac:dyDescent="0.2">
      <c r="A2" t="s">
        <v>34</v>
      </c>
    </row>
    <row r="3" spans="1:1" x14ac:dyDescent="0.2">
      <c r="A3" t="s">
        <v>35</v>
      </c>
    </row>
    <row r="4" spans="1:1" x14ac:dyDescent="0.2">
      <c r="A4" t="s">
        <v>54</v>
      </c>
    </row>
    <row r="5" spans="1:1" x14ac:dyDescent="0.2">
      <c r="A5" t="s">
        <v>52</v>
      </c>
    </row>
    <row r="6" spans="1:1" x14ac:dyDescent="0.2">
      <c r="A6" t="s">
        <v>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M11"/>
  <sheetViews>
    <sheetView tabSelected="1" topLeftCell="B1" workbookViewId="0">
      <pane xSplit="1" topLeftCell="D1" activePane="topRight" state="frozen"/>
      <selection activeCell="B1" sqref="B1"/>
      <selection pane="topRight" activeCell="D10" sqref="D10"/>
    </sheetView>
  </sheetViews>
  <sheetFormatPr baseColWidth="10" defaultColWidth="8.83203125" defaultRowHeight="15" x14ac:dyDescent="0.2"/>
  <cols>
    <col min="1" max="1" width="23.5" customWidth="1"/>
    <col min="2" max="2" width="29.1640625" bestFit="1" customWidth="1"/>
    <col min="3" max="3" width="27.83203125" bestFit="1" customWidth="1"/>
    <col min="4" max="4" width="27.83203125" customWidth="1"/>
    <col min="5" max="5" width="27.83203125" style="4" bestFit="1" customWidth="1"/>
    <col min="6" max="6" width="11.5" style="1" bestFit="1" customWidth="1"/>
    <col min="7" max="7" width="20.83203125" style="1" bestFit="1" customWidth="1"/>
    <col min="8" max="8" width="22.6640625" style="4" bestFit="1" customWidth="1"/>
    <col min="9" max="9" width="11" style="1" bestFit="1" customWidth="1"/>
    <col min="10" max="10" width="11" bestFit="1" customWidth="1"/>
    <col min="11" max="11" width="11.5" style="4" bestFit="1" customWidth="1"/>
    <col min="12" max="12" width="12.6640625" style="4" bestFit="1" customWidth="1"/>
    <col min="13" max="13" width="20.1640625" style="4" bestFit="1" customWidth="1"/>
  </cols>
  <sheetData>
    <row r="1" spans="1:13" ht="18.75" customHeight="1" x14ac:dyDescent="0.2">
      <c r="A1" s="6" t="s">
        <v>17</v>
      </c>
      <c r="B1" s="6" t="s">
        <v>70</v>
      </c>
      <c r="C1" s="7" t="s">
        <v>37</v>
      </c>
      <c r="D1" s="7" t="s">
        <v>81</v>
      </c>
      <c r="E1" s="8" t="s">
        <v>38</v>
      </c>
      <c r="F1" s="7" t="s">
        <v>21</v>
      </c>
      <c r="G1" s="8" t="s">
        <v>39</v>
      </c>
      <c r="H1" s="8" t="s">
        <v>40</v>
      </c>
      <c r="I1" s="7" t="s">
        <v>18</v>
      </c>
      <c r="J1" s="8" t="s">
        <v>19</v>
      </c>
      <c r="K1" s="6" t="s">
        <v>20</v>
      </c>
      <c r="L1" s="7" t="s">
        <v>22</v>
      </c>
      <c r="M1" s="7" t="s">
        <v>36</v>
      </c>
    </row>
    <row r="2" spans="1:13" ht="18.75" customHeight="1" x14ac:dyDescent="0.2">
      <c r="A2" t="s">
        <v>32</v>
      </c>
      <c r="B2" t="s">
        <v>73</v>
      </c>
      <c r="C2" s="3">
        <v>250</v>
      </c>
      <c r="D2" s="3">
        <v>335</v>
      </c>
      <c r="E2" s="14">
        <v>40.700000000000003</v>
      </c>
      <c r="F2" s="3">
        <v>3</v>
      </c>
      <c r="G2" s="14">
        <v>2.2599999999999998</v>
      </c>
      <c r="H2" s="9">
        <v>2.23</v>
      </c>
      <c r="I2">
        <v>0.86</v>
      </c>
      <c r="J2" s="14">
        <v>0.26</v>
      </c>
      <c r="K2" t="s">
        <v>34</v>
      </c>
      <c r="L2" s="3">
        <v>2</v>
      </c>
      <c r="M2" s="3">
        <v>335</v>
      </c>
    </row>
    <row r="3" spans="1:13" x14ac:dyDescent="0.2">
      <c r="A3" t="s">
        <v>47</v>
      </c>
      <c r="B3" t="s">
        <v>72</v>
      </c>
      <c r="C3" s="4">
        <v>250</v>
      </c>
      <c r="D3" s="3">
        <v>1000000</v>
      </c>
      <c r="E3" s="1">
        <v>1.38</v>
      </c>
      <c r="F3" s="4">
        <v>2</v>
      </c>
      <c r="G3" s="1">
        <v>0.01</v>
      </c>
      <c r="H3" s="1">
        <v>1</v>
      </c>
      <c r="I3" s="4">
        <v>0.98</v>
      </c>
      <c r="J3" s="1">
        <v>0</v>
      </c>
      <c r="K3" t="s">
        <v>11</v>
      </c>
      <c r="L3" s="4">
        <v>0</v>
      </c>
      <c r="M3" s="28">
        <v>300</v>
      </c>
    </row>
    <row r="4" spans="1:13" ht="18.75" customHeight="1" x14ac:dyDescent="0.2">
      <c r="A4" t="s">
        <v>45</v>
      </c>
      <c r="B4" t="s">
        <v>71</v>
      </c>
      <c r="C4" s="3">
        <v>250</v>
      </c>
      <c r="D4" s="3">
        <v>1000000</v>
      </c>
      <c r="E4" s="14">
        <v>7.4</v>
      </c>
      <c r="F4" s="3">
        <v>2</v>
      </c>
      <c r="G4" s="14">
        <v>0.03</v>
      </c>
      <c r="H4" s="9">
        <v>0.5</v>
      </c>
      <c r="I4">
        <v>2.68</v>
      </c>
      <c r="J4" s="2">
        <v>0</v>
      </c>
      <c r="K4" t="s">
        <v>11</v>
      </c>
      <c r="L4" s="3">
        <v>1</v>
      </c>
      <c r="M4" s="3">
        <v>157</v>
      </c>
    </row>
    <row r="5" spans="1:13" ht="18.75" customHeight="1" x14ac:dyDescent="0.2">
      <c r="A5" t="s">
        <v>48</v>
      </c>
      <c r="B5" t="s">
        <v>74</v>
      </c>
      <c r="C5" s="3">
        <v>250</v>
      </c>
      <c r="D5" s="3">
        <v>1000000</v>
      </c>
      <c r="E5" s="14">
        <v>81.400000000000006</v>
      </c>
      <c r="F5" s="3">
        <v>3</v>
      </c>
      <c r="G5" s="14">
        <v>2.2599999999999998</v>
      </c>
      <c r="H5" s="9">
        <v>2.23</v>
      </c>
      <c r="I5">
        <v>0.7</v>
      </c>
      <c r="J5" s="2">
        <v>0.21</v>
      </c>
      <c r="K5" t="s">
        <v>54</v>
      </c>
      <c r="L5" s="3">
        <v>1</v>
      </c>
      <c r="M5" s="3">
        <v>386</v>
      </c>
    </row>
    <row r="6" spans="1:13" ht="18.75" customHeight="1" x14ac:dyDescent="0.2">
      <c r="A6" t="s">
        <v>49</v>
      </c>
      <c r="B6" t="s">
        <v>75</v>
      </c>
      <c r="C6" s="3">
        <v>500</v>
      </c>
      <c r="D6" s="3">
        <v>1000000</v>
      </c>
      <c r="E6" s="14">
        <v>41.22</v>
      </c>
      <c r="F6" s="3">
        <v>3</v>
      </c>
      <c r="G6" s="14">
        <v>2.2599999999999998</v>
      </c>
      <c r="H6" s="9">
        <v>2.23</v>
      </c>
      <c r="I6">
        <v>0.8</v>
      </c>
      <c r="J6" s="2">
        <v>0.27</v>
      </c>
      <c r="K6" t="s">
        <v>52</v>
      </c>
      <c r="L6" s="3">
        <v>2</v>
      </c>
      <c r="M6" s="3">
        <v>226</v>
      </c>
    </row>
    <row r="7" spans="1:13" ht="18.75" customHeight="1" x14ac:dyDescent="0.2">
      <c r="A7" t="s">
        <v>33</v>
      </c>
      <c r="B7" t="s">
        <v>76</v>
      </c>
      <c r="C7" s="3">
        <v>500</v>
      </c>
      <c r="D7" s="3">
        <v>1000000</v>
      </c>
      <c r="E7" s="14">
        <v>3.44</v>
      </c>
      <c r="F7" s="3">
        <v>3</v>
      </c>
      <c r="G7" s="14">
        <v>0.03</v>
      </c>
      <c r="H7" s="9">
        <v>2.5</v>
      </c>
      <c r="I7" s="2">
        <v>0.9</v>
      </c>
      <c r="J7" s="2">
        <v>0</v>
      </c>
      <c r="K7" t="s">
        <v>35</v>
      </c>
      <c r="L7" s="3">
        <v>1</v>
      </c>
      <c r="M7" s="3">
        <v>574</v>
      </c>
    </row>
    <row r="8" spans="1:13" ht="18.75" customHeight="1" x14ac:dyDescent="0.2">
      <c r="A8" t="s">
        <v>46</v>
      </c>
      <c r="B8" t="s">
        <v>77</v>
      </c>
      <c r="C8" s="3">
        <v>500</v>
      </c>
      <c r="D8" s="3">
        <v>1000000</v>
      </c>
      <c r="E8" s="14">
        <v>22.58</v>
      </c>
      <c r="F8" s="3">
        <v>3</v>
      </c>
      <c r="G8" s="14">
        <v>2.2599999999999998</v>
      </c>
      <c r="H8" s="9">
        <v>2.23</v>
      </c>
      <c r="I8" s="2">
        <v>0.8</v>
      </c>
      <c r="J8" s="2">
        <v>0.5</v>
      </c>
      <c r="K8" t="s">
        <v>35</v>
      </c>
      <c r="L8" s="3">
        <v>1</v>
      </c>
      <c r="M8" s="3">
        <v>982</v>
      </c>
    </row>
    <row r="9" spans="1:13" ht="18.75" customHeight="1" x14ac:dyDescent="0.2">
      <c r="A9" t="s">
        <v>53</v>
      </c>
      <c r="B9" t="s">
        <v>78</v>
      </c>
      <c r="C9" s="3">
        <v>250</v>
      </c>
      <c r="D9" s="3">
        <v>100</v>
      </c>
      <c r="E9" s="14">
        <v>7.42</v>
      </c>
      <c r="F9" s="3">
        <v>2</v>
      </c>
      <c r="G9" s="14">
        <v>0.02</v>
      </c>
      <c r="H9" s="9">
        <v>0.5</v>
      </c>
      <c r="I9" s="2">
        <v>3.2</v>
      </c>
      <c r="J9" s="2">
        <v>0</v>
      </c>
      <c r="K9" t="s">
        <v>11</v>
      </c>
      <c r="L9" s="3">
        <v>0</v>
      </c>
      <c r="M9" s="3">
        <v>0</v>
      </c>
    </row>
    <row r="10" spans="1:13" x14ac:dyDescent="0.2">
      <c r="A10" t="s">
        <v>50</v>
      </c>
      <c r="B10" t="s">
        <v>79</v>
      </c>
      <c r="C10" s="4">
        <v>250</v>
      </c>
      <c r="D10" s="28">
        <v>220</v>
      </c>
      <c r="E10" s="1">
        <v>7.42</v>
      </c>
      <c r="F10" s="4">
        <v>2</v>
      </c>
      <c r="G10" s="1">
        <v>0.03</v>
      </c>
      <c r="H10" s="1">
        <v>0.5</v>
      </c>
      <c r="I10" s="1">
        <v>2.8</v>
      </c>
      <c r="J10" s="1">
        <v>0</v>
      </c>
      <c r="K10" t="s">
        <v>11</v>
      </c>
      <c r="L10" s="4">
        <v>0</v>
      </c>
      <c r="M10" s="28">
        <v>220</v>
      </c>
    </row>
    <row r="11" spans="1:13" x14ac:dyDescent="0.2">
      <c r="A11" t="s">
        <v>51</v>
      </c>
      <c r="B11" t="s">
        <v>80</v>
      </c>
      <c r="C11" s="4">
        <v>250</v>
      </c>
      <c r="D11" s="3">
        <v>1000000</v>
      </c>
      <c r="E11" s="1">
        <v>10.42</v>
      </c>
      <c r="F11" s="4">
        <v>2</v>
      </c>
      <c r="G11" s="1">
        <v>0.03</v>
      </c>
      <c r="H11" s="1">
        <v>0.5</v>
      </c>
      <c r="I11" s="4">
        <v>2.7</v>
      </c>
      <c r="J11" s="1">
        <v>0</v>
      </c>
      <c r="K11" t="s">
        <v>11</v>
      </c>
      <c r="L11" s="4">
        <v>1</v>
      </c>
      <c r="M11" s="28">
        <v>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35841-847C-E449-8BA6-740978B3FDD1}">
          <x14:formula1>
            <xm:f>ListCarriers!$A$2:$A$6</xm:f>
          </x14:formula1>
          <xm:sqref>K2:K11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N11"/>
  <sheetViews>
    <sheetView workbookViewId="0">
      <selection activeCell="N2" sqref="N2"/>
    </sheetView>
  </sheetViews>
  <sheetFormatPr baseColWidth="10" defaultColWidth="8.83203125" defaultRowHeight="15" x14ac:dyDescent="0.2"/>
  <cols>
    <col min="1" max="1" width="9.33203125" bestFit="1" customWidth="1"/>
    <col min="2" max="2" width="29.33203125" bestFit="1" customWidth="1"/>
    <col min="3" max="3" width="29.33203125" customWidth="1"/>
    <col min="4" max="4" width="20.83203125" bestFit="1" customWidth="1"/>
    <col min="5" max="5" width="22.6640625" bestFit="1" customWidth="1"/>
    <col min="6" max="6" width="11.1640625" bestFit="1" customWidth="1"/>
    <col min="7" max="7" width="10.5" bestFit="1" customWidth="1"/>
    <col min="8" max="8" width="16.83203125" bestFit="1" customWidth="1"/>
    <col min="9" max="9" width="19.1640625" bestFit="1" customWidth="1"/>
    <col min="10" max="10" width="11.5" bestFit="1" customWidth="1"/>
    <col min="11" max="11" width="30.33203125" bestFit="1" customWidth="1"/>
    <col min="12" max="12" width="22.6640625" bestFit="1" customWidth="1"/>
  </cols>
  <sheetData>
    <row r="1" spans="1:14" ht="18.75" customHeight="1" x14ac:dyDescent="0.2">
      <c r="A1" t="s">
        <v>63</v>
      </c>
      <c r="B1" t="s">
        <v>38</v>
      </c>
      <c r="C1" s="7" t="s">
        <v>37</v>
      </c>
      <c r="D1" s="8" t="s">
        <v>39</v>
      </c>
      <c r="E1" s="8" t="s">
        <v>40</v>
      </c>
      <c r="F1" s="7" t="s">
        <v>18</v>
      </c>
      <c r="G1" t="s">
        <v>14</v>
      </c>
      <c r="H1" t="s">
        <v>15</v>
      </c>
      <c r="I1" t="s">
        <v>16</v>
      </c>
      <c r="J1" s="7" t="s">
        <v>21</v>
      </c>
      <c r="K1" t="s">
        <v>81</v>
      </c>
      <c r="L1" t="s">
        <v>36</v>
      </c>
      <c r="M1" s="7" t="s">
        <v>22</v>
      </c>
      <c r="N1" s="7" t="s">
        <v>82</v>
      </c>
    </row>
    <row r="2" spans="1:14" ht="18.75" customHeight="1" x14ac:dyDescent="0.2">
      <c r="A2" s="4" t="s">
        <v>55</v>
      </c>
      <c r="B2" s="3">
        <v>400</v>
      </c>
      <c r="C2" s="3">
        <v>1000</v>
      </c>
      <c r="D2" s="2">
        <v>0</v>
      </c>
      <c r="E2" s="2">
        <v>0</v>
      </c>
      <c r="F2" s="2">
        <v>0.95</v>
      </c>
      <c r="G2" s="2">
        <v>0.02</v>
      </c>
      <c r="H2" s="2">
        <v>0.25</v>
      </c>
      <c r="I2" s="2">
        <v>0.25</v>
      </c>
      <c r="J2" s="3">
        <v>3</v>
      </c>
      <c r="K2" s="3">
        <v>1000000</v>
      </c>
      <c r="L2" s="3">
        <v>0</v>
      </c>
      <c r="M2" s="28">
        <v>2</v>
      </c>
      <c r="N2" s="28">
        <v>500</v>
      </c>
    </row>
    <row r="3" spans="1:14" ht="18.75" customHeight="1" x14ac:dyDescent="0.2"/>
    <row r="4" spans="1:14" ht="18.75" customHeight="1" x14ac:dyDescent="0.2"/>
    <row r="5" spans="1:14" ht="18.75" customHeight="1" x14ac:dyDescent="0.2"/>
    <row r="6" spans="1:14" ht="18.75" customHeight="1" x14ac:dyDescent="0.2"/>
    <row r="7" spans="1:14" ht="18.75" customHeight="1" x14ac:dyDescent="0.2">
      <c r="E7" s="7"/>
      <c r="F7" s="7"/>
      <c r="G7" s="8"/>
      <c r="K7" s="8"/>
      <c r="L7" s="6"/>
      <c r="N7" s="7"/>
    </row>
    <row r="8" spans="1:14" ht="18.75" customHeight="1" x14ac:dyDescent="0.2"/>
    <row r="9" spans="1:14" ht="18.75" customHeight="1" x14ac:dyDescent="0.2"/>
    <row r="10" spans="1:14" ht="18.75" customHeight="1" x14ac:dyDescent="0.2"/>
    <row r="11" spans="1:14" ht="18.75" customHeight="1" x14ac:dyDescent="0.2"/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6"/>
  <sheetViews>
    <sheetView workbookViewId="0">
      <selection activeCell="C3" sqref="C3"/>
    </sheetView>
  </sheetViews>
  <sheetFormatPr baseColWidth="10" defaultColWidth="8.83203125" defaultRowHeight="15" x14ac:dyDescent="0.2"/>
  <cols>
    <col min="1" max="1" width="10.83203125" bestFit="1" customWidth="1"/>
    <col min="2" max="2" width="13.33203125" style="4" bestFit="1" customWidth="1"/>
  </cols>
  <sheetData>
    <row r="1" spans="1:3" ht="18.75" customHeight="1" x14ac:dyDescent="0.2">
      <c r="A1" s="6" t="s">
        <v>10</v>
      </c>
      <c r="B1" s="7" t="s">
        <v>65</v>
      </c>
      <c r="C1" t="s">
        <v>30</v>
      </c>
    </row>
    <row r="2" spans="1:3" ht="18.75" customHeight="1" x14ac:dyDescent="0.2">
      <c r="A2" t="s">
        <v>34</v>
      </c>
      <c r="B2" s="10">
        <v>0.34735402116783071</v>
      </c>
      <c r="C2" t="s">
        <v>66</v>
      </c>
    </row>
    <row r="3" spans="1:3" ht="18.75" customHeight="1" x14ac:dyDescent="0.2">
      <c r="A3" t="s">
        <v>35</v>
      </c>
      <c r="B3" s="3">
        <v>0</v>
      </c>
      <c r="C3" t="s">
        <v>66</v>
      </c>
    </row>
    <row r="4" spans="1:3" x14ac:dyDescent="0.2">
      <c r="A4" t="s">
        <v>54</v>
      </c>
      <c r="B4" s="4">
        <v>0</v>
      </c>
      <c r="C4" t="s">
        <v>66</v>
      </c>
    </row>
    <row r="5" spans="1:3" x14ac:dyDescent="0.2">
      <c r="A5" t="s">
        <v>52</v>
      </c>
      <c r="B5" s="4">
        <v>0</v>
      </c>
      <c r="C5" t="s">
        <v>66</v>
      </c>
    </row>
    <row r="6" spans="1:3" x14ac:dyDescent="0.2">
      <c r="A6" t="s">
        <v>11</v>
      </c>
      <c r="C6" t="s">
        <v>66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959A-48B5-4E78-9ABA-7625B4241542}">
  <dimension ref="A1:C29"/>
  <sheetViews>
    <sheetView workbookViewId="0">
      <selection activeCell="G26" sqref="G26"/>
    </sheetView>
  </sheetViews>
  <sheetFormatPr baseColWidth="10" defaultColWidth="8.83203125" defaultRowHeight="15" x14ac:dyDescent="0.2"/>
  <cols>
    <col min="1" max="1" width="9.6640625" style="12" bestFit="1" customWidth="1"/>
    <col min="2" max="2" width="26.1640625" style="12" bestFit="1" customWidth="1"/>
    <col min="3" max="16384" width="8.83203125" style="12"/>
  </cols>
  <sheetData>
    <row r="1" spans="1:3" x14ac:dyDescent="0.2">
      <c r="A1" s="13" t="s">
        <v>41</v>
      </c>
      <c r="B1" s="7" t="s">
        <v>65</v>
      </c>
      <c r="C1" t="s">
        <v>30</v>
      </c>
    </row>
    <row r="2" spans="1:3" x14ac:dyDescent="0.2">
      <c r="A2" s="11">
        <v>2023</v>
      </c>
      <c r="B2" s="12">
        <v>4.4999999999999998E-2</v>
      </c>
      <c r="C2" t="s">
        <v>66</v>
      </c>
    </row>
    <row r="3" spans="1:3" x14ac:dyDescent="0.2">
      <c r="A3" s="11">
        <v>2024</v>
      </c>
      <c r="B3" s="12">
        <v>3.5999999999999997E-2</v>
      </c>
      <c r="C3" t="s">
        <v>66</v>
      </c>
    </row>
    <row r="4" spans="1:3" x14ac:dyDescent="0.2">
      <c r="A4" s="11">
        <v>2025</v>
      </c>
      <c r="B4" s="12">
        <v>2.8799999999999999E-2</v>
      </c>
      <c r="C4" t="s">
        <v>66</v>
      </c>
    </row>
    <row r="5" spans="1:3" x14ac:dyDescent="0.2">
      <c r="A5" s="11">
        <v>2026</v>
      </c>
      <c r="B5" s="12">
        <v>2.3E-2</v>
      </c>
      <c r="C5" t="s">
        <v>66</v>
      </c>
    </row>
    <row r="6" spans="1:3" x14ac:dyDescent="0.2">
      <c r="A6" s="11">
        <v>2027</v>
      </c>
      <c r="B6" s="12">
        <v>1.84E-2</v>
      </c>
      <c r="C6" t="s">
        <v>66</v>
      </c>
    </row>
    <row r="7" spans="1:3" x14ac:dyDescent="0.2">
      <c r="A7" s="11">
        <v>2028</v>
      </c>
      <c r="B7" s="12">
        <v>1.47E-2</v>
      </c>
      <c r="C7" t="s">
        <v>66</v>
      </c>
    </row>
    <row r="8" spans="1:3" x14ac:dyDescent="0.2">
      <c r="A8" s="11">
        <v>2029</v>
      </c>
      <c r="B8" s="12">
        <v>1.18E-2</v>
      </c>
      <c r="C8" t="s">
        <v>66</v>
      </c>
    </row>
    <row r="9" spans="1:3" x14ac:dyDescent="0.2">
      <c r="A9" s="11">
        <v>2030</v>
      </c>
      <c r="B9" s="12">
        <v>9.4000000000000004E-3</v>
      </c>
      <c r="C9" t="s">
        <v>66</v>
      </c>
    </row>
    <row r="10" spans="1:3" x14ac:dyDescent="0.2">
      <c r="A10" s="11">
        <v>2031</v>
      </c>
      <c r="B10" s="12">
        <v>7.4999999999999997E-3</v>
      </c>
      <c r="C10" t="s">
        <v>66</v>
      </c>
    </row>
    <row r="11" spans="1:3" x14ac:dyDescent="0.2">
      <c r="A11" s="11">
        <v>2032</v>
      </c>
      <c r="B11" s="12">
        <v>5.3E-3</v>
      </c>
      <c r="C11" t="s">
        <v>66</v>
      </c>
    </row>
    <row r="12" spans="1:3" x14ac:dyDescent="0.2">
      <c r="A12" s="11">
        <v>2033</v>
      </c>
      <c r="B12" s="12">
        <v>3.7000000000000002E-3</v>
      </c>
      <c r="C12" t="s">
        <v>66</v>
      </c>
    </row>
    <row r="13" spans="1:3" x14ac:dyDescent="0.2">
      <c r="A13" s="11">
        <v>2034</v>
      </c>
      <c r="B13" s="12">
        <v>2.5999999999999999E-3</v>
      </c>
      <c r="C13" t="s">
        <v>66</v>
      </c>
    </row>
    <row r="14" spans="1:3" x14ac:dyDescent="0.2">
      <c r="A14" s="11">
        <v>2035</v>
      </c>
      <c r="B14" s="12">
        <v>1.8E-3</v>
      </c>
      <c r="C14" t="s">
        <v>66</v>
      </c>
    </row>
    <row r="15" spans="1:3" x14ac:dyDescent="0.2">
      <c r="A15" s="11">
        <v>2036</v>
      </c>
      <c r="B15" s="12">
        <v>1.2999999999999999E-3</v>
      </c>
      <c r="C15" t="s">
        <v>66</v>
      </c>
    </row>
    <row r="16" spans="1:3" x14ac:dyDescent="0.2">
      <c r="A16" s="11">
        <v>2037</v>
      </c>
      <c r="B16" s="12">
        <v>8.0000000000000004E-4</v>
      </c>
      <c r="C16" t="s">
        <v>66</v>
      </c>
    </row>
    <row r="17" spans="1:3" x14ac:dyDescent="0.2">
      <c r="A17" s="11">
        <v>2038</v>
      </c>
      <c r="B17" s="12">
        <v>5.0000000000000001E-4</v>
      </c>
      <c r="C17" t="s">
        <v>66</v>
      </c>
    </row>
    <row r="18" spans="1:3" x14ac:dyDescent="0.2">
      <c r="A18" s="11">
        <v>2039</v>
      </c>
      <c r="B18" s="12">
        <v>2.0000000000000001E-4</v>
      </c>
      <c r="C18" t="s">
        <v>66</v>
      </c>
    </row>
    <row r="19" spans="1:3" x14ac:dyDescent="0.2">
      <c r="A19" s="11">
        <v>2040</v>
      </c>
      <c r="B19" s="12">
        <v>1E-4</v>
      </c>
      <c r="C19" t="s">
        <v>66</v>
      </c>
    </row>
    <row r="20" spans="1:3" x14ac:dyDescent="0.2">
      <c r="A20" s="11">
        <v>2041</v>
      </c>
      <c r="B20" s="12">
        <v>0</v>
      </c>
      <c r="C20" t="s">
        <v>66</v>
      </c>
    </row>
    <row r="21" spans="1:3" x14ac:dyDescent="0.2">
      <c r="A21" s="11">
        <v>2042</v>
      </c>
      <c r="B21" s="12">
        <v>0</v>
      </c>
      <c r="C21" t="s">
        <v>66</v>
      </c>
    </row>
    <row r="22" spans="1:3" x14ac:dyDescent="0.2">
      <c r="A22" s="11">
        <v>2043</v>
      </c>
      <c r="B22" s="12">
        <v>0</v>
      </c>
      <c r="C22" t="s">
        <v>66</v>
      </c>
    </row>
    <row r="23" spans="1:3" x14ac:dyDescent="0.2">
      <c r="A23" s="11">
        <v>2044</v>
      </c>
      <c r="B23" s="12">
        <v>0</v>
      </c>
      <c r="C23" t="s">
        <v>66</v>
      </c>
    </row>
    <row r="24" spans="1:3" x14ac:dyDescent="0.2">
      <c r="A24" s="11">
        <v>2045</v>
      </c>
      <c r="B24" s="12">
        <v>0</v>
      </c>
      <c r="C24" t="s">
        <v>66</v>
      </c>
    </row>
    <row r="25" spans="1:3" x14ac:dyDescent="0.2">
      <c r="A25" s="11">
        <v>2046</v>
      </c>
      <c r="B25" s="12">
        <v>0</v>
      </c>
      <c r="C25" t="s">
        <v>66</v>
      </c>
    </row>
    <row r="26" spans="1:3" x14ac:dyDescent="0.2">
      <c r="A26" s="11">
        <v>2047</v>
      </c>
      <c r="B26" s="12">
        <v>0</v>
      </c>
      <c r="C26" t="s">
        <v>66</v>
      </c>
    </row>
    <row r="27" spans="1:3" x14ac:dyDescent="0.2">
      <c r="A27" s="11">
        <v>2048</v>
      </c>
      <c r="B27" s="12">
        <v>0</v>
      </c>
      <c r="C27" t="s">
        <v>66</v>
      </c>
    </row>
    <row r="28" spans="1:3" x14ac:dyDescent="0.2">
      <c r="A28" s="11">
        <v>2049</v>
      </c>
      <c r="B28" s="12">
        <v>0</v>
      </c>
      <c r="C28" t="s">
        <v>66</v>
      </c>
    </row>
    <row r="29" spans="1:3" x14ac:dyDescent="0.2">
      <c r="A29" s="11">
        <v>2050</v>
      </c>
      <c r="B29" s="12">
        <v>0</v>
      </c>
      <c r="C29" t="s">
        <v>66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E73"/>
  <sheetViews>
    <sheetView workbookViewId="0">
      <selection activeCell="D2" sqref="D2"/>
    </sheetView>
  </sheetViews>
  <sheetFormatPr baseColWidth="10" defaultColWidth="8.83203125" defaultRowHeight="15" x14ac:dyDescent="0.2"/>
  <cols>
    <col min="1" max="1" width="7.6640625" bestFit="1" customWidth="1"/>
    <col min="2" max="2" width="6.83203125" customWidth="1"/>
    <col min="3" max="3" width="10.33203125" style="4" bestFit="1" customWidth="1"/>
    <col min="4" max="4" width="7.83203125" bestFit="1" customWidth="1"/>
    <col min="5" max="5" width="10.6640625" customWidth="1"/>
  </cols>
  <sheetData>
    <row r="1" spans="1:5" ht="18.75" customHeight="1" x14ac:dyDescent="0.2">
      <c r="A1" s="6" t="s">
        <v>57</v>
      </c>
      <c r="B1" s="6" t="s">
        <v>41</v>
      </c>
      <c r="C1" s="7" t="s">
        <v>10</v>
      </c>
      <c r="D1" s="6" t="s">
        <v>13</v>
      </c>
      <c r="E1" s="6" t="s">
        <v>30</v>
      </c>
    </row>
    <row r="2" spans="1:5" ht="18.75" customHeight="1" x14ac:dyDescent="0.2">
      <c r="A2" s="16" t="s">
        <v>59</v>
      </c>
      <c r="B2">
        <v>2025</v>
      </c>
      <c r="C2" s="29" t="s">
        <v>35</v>
      </c>
      <c r="D2" s="20">
        <v>2012.4</v>
      </c>
      <c r="E2" s="9" t="s">
        <v>31</v>
      </c>
    </row>
    <row r="3" spans="1:5" ht="18.75" customHeight="1" x14ac:dyDescent="0.2">
      <c r="A3" s="17" t="s">
        <v>69</v>
      </c>
      <c r="B3">
        <v>2025</v>
      </c>
      <c r="C3" s="29" t="s">
        <v>35</v>
      </c>
      <c r="D3" s="20">
        <v>1548</v>
      </c>
      <c r="E3" s="9" t="s">
        <v>31</v>
      </c>
    </row>
    <row r="4" spans="1:5" ht="18.75" customHeight="1" x14ac:dyDescent="0.2">
      <c r="A4" s="17" t="s">
        <v>58</v>
      </c>
      <c r="B4">
        <v>2025</v>
      </c>
      <c r="C4" s="29" t="s">
        <v>35</v>
      </c>
      <c r="D4" s="20">
        <v>1083.5999999999999</v>
      </c>
      <c r="E4" s="9" t="s">
        <v>31</v>
      </c>
    </row>
    <row r="5" spans="1:5" x14ac:dyDescent="0.2">
      <c r="A5" s="16" t="s">
        <v>59</v>
      </c>
      <c r="B5">
        <v>2025</v>
      </c>
      <c r="C5" s="29" t="s">
        <v>54</v>
      </c>
      <c r="D5" s="20">
        <v>740.59999999999991</v>
      </c>
      <c r="E5" s="9" t="s">
        <v>31</v>
      </c>
    </row>
    <row r="6" spans="1:5" x14ac:dyDescent="0.2">
      <c r="A6" s="17" t="s">
        <v>69</v>
      </c>
      <c r="B6">
        <v>2025</v>
      </c>
      <c r="C6" s="29" t="s">
        <v>54</v>
      </c>
      <c r="D6" s="20">
        <v>644</v>
      </c>
      <c r="E6" s="9" t="s">
        <v>31</v>
      </c>
    </row>
    <row r="7" spans="1:5" x14ac:dyDescent="0.2">
      <c r="A7" s="17" t="s">
        <v>58</v>
      </c>
      <c r="B7">
        <v>2025</v>
      </c>
      <c r="C7" s="29" t="s">
        <v>54</v>
      </c>
      <c r="D7" s="20">
        <v>547.4</v>
      </c>
      <c r="E7" s="9" t="s">
        <v>31</v>
      </c>
    </row>
    <row r="8" spans="1:5" x14ac:dyDescent="0.2">
      <c r="A8" s="16" t="s">
        <v>58</v>
      </c>
      <c r="B8">
        <v>2025</v>
      </c>
      <c r="C8" s="29" t="s">
        <v>34</v>
      </c>
      <c r="D8" s="20">
        <v>-1071</v>
      </c>
      <c r="E8" s="9" t="s">
        <v>31</v>
      </c>
    </row>
    <row r="9" spans="1:5" x14ac:dyDescent="0.2">
      <c r="A9" s="17" t="s">
        <v>69</v>
      </c>
      <c r="B9">
        <v>2025</v>
      </c>
      <c r="C9" s="29" t="s">
        <v>34</v>
      </c>
      <c r="D9" s="21">
        <v>-1260</v>
      </c>
      <c r="E9" s="9" t="s">
        <v>31</v>
      </c>
    </row>
    <row r="10" spans="1:5" x14ac:dyDescent="0.2">
      <c r="A10" s="17" t="s">
        <v>59</v>
      </c>
      <c r="B10">
        <v>2025</v>
      </c>
      <c r="C10" s="29" t="s">
        <v>34</v>
      </c>
      <c r="D10" s="20">
        <v>-1449</v>
      </c>
      <c r="E10" s="9" t="s">
        <v>31</v>
      </c>
    </row>
    <row r="11" spans="1:5" x14ac:dyDescent="0.2">
      <c r="A11" s="16" t="s">
        <v>59</v>
      </c>
      <c r="B11">
        <v>2025</v>
      </c>
      <c r="C11" s="29" t="s">
        <v>52</v>
      </c>
      <c r="D11" s="20">
        <v>304.2</v>
      </c>
      <c r="E11" s="9" t="s">
        <v>31</v>
      </c>
    </row>
    <row r="12" spans="1:5" x14ac:dyDescent="0.2">
      <c r="A12" s="17" t="s">
        <v>69</v>
      </c>
      <c r="B12">
        <v>2025</v>
      </c>
      <c r="C12" s="29" t="s">
        <v>52</v>
      </c>
      <c r="D12" s="20">
        <v>234</v>
      </c>
      <c r="E12" s="9" t="s">
        <v>31</v>
      </c>
    </row>
    <row r="13" spans="1:5" x14ac:dyDescent="0.2">
      <c r="A13" s="17" t="s">
        <v>58</v>
      </c>
      <c r="B13">
        <v>2025</v>
      </c>
      <c r="C13" s="29" t="s">
        <v>52</v>
      </c>
      <c r="D13" s="20">
        <v>163.79999999999998</v>
      </c>
      <c r="E13" s="9" t="s">
        <v>31</v>
      </c>
    </row>
    <row r="14" spans="1:5" x14ac:dyDescent="0.2">
      <c r="A14" s="16" t="s">
        <v>59</v>
      </c>
      <c r="B14">
        <v>2030</v>
      </c>
      <c r="C14" s="29" t="s">
        <v>35</v>
      </c>
      <c r="D14" s="20">
        <v>2260.7000000000003</v>
      </c>
      <c r="E14" s="9" t="s">
        <v>31</v>
      </c>
    </row>
    <row r="15" spans="1:5" x14ac:dyDescent="0.2">
      <c r="A15" s="17" t="s">
        <v>69</v>
      </c>
      <c r="B15">
        <v>2030</v>
      </c>
      <c r="C15" s="29" t="s">
        <v>35</v>
      </c>
      <c r="D15" s="20">
        <v>1739</v>
      </c>
      <c r="E15" s="9" t="s">
        <v>31</v>
      </c>
    </row>
    <row r="16" spans="1:5" x14ac:dyDescent="0.2">
      <c r="A16" s="17" t="s">
        <v>58</v>
      </c>
      <c r="B16">
        <v>2030</v>
      </c>
      <c r="C16" s="29" t="s">
        <v>35</v>
      </c>
      <c r="D16" s="20">
        <v>1217.3</v>
      </c>
      <c r="E16" s="9" t="s">
        <v>31</v>
      </c>
    </row>
    <row r="17" spans="1:5" x14ac:dyDescent="0.2">
      <c r="A17" s="16" t="s">
        <v>59</v>
      </c>
      <c r="B17">
        <v>2030</v>
      </c>
      <c r="C17" s="29" t="s">
        <v>54</v>
      </c>
      <c r="D17" s="20">
        <v>832.59999999999991</v>
      </c>
      <c r="E17" s="9" t="s">
        <v>31</v>
      </c>
    </row>
    <row r="18" spans="1:5" x14ac:dyDescent="0.2">
      <c r="A18" s="17" t="s">
        <v>69</v>
      </c>
      <c r="B18">
        <v>2030</v>
      </c>
      <c r="C18" s="29" t="s">
        <v>54</v>
      </c>
      <c r="D18" s="20">
        <v>724</v>
      </c>
      <c r="E18" s="9" t="s">
        <v>31</v>
      </c>
    </row>
    <row r="19" spans="1:5" x14ac:dyDescent="0.2">
      <c r="A19" s="17" t="s">
        <v>58</v>
      </c>
      <c r="B19">
        <v>2030</v>
      </c>
      <c r="C19" s="29" t="s">
        <v>54</v>
      </c>
      <c r="D19" s="23">
        <v>615.4</v>
      </c>
      <c r="E19" s="9" t="s">
        <v>31</v>
      </c>
    </row>
    <row r="20" spans="1:5" x14ac:dyDescent="0.2">
      <c r="A20" s="16" t="s">
        <v>58</v>
      </c>
      <c r="B20">
        <v>2030</v>
      </c>
      <c r="C20" s="22" t="s">
        <v>34</v>
      </c>
      <c r="D20" s="20">
        <v>-1359.1499999999999</v>
      </c>
      <c r="E20" s="9" t="s">
        <v>31</v>
      </c>
    </row>
    <row r="21" spans="1:5" x14ac:dyDescent="0.2">
      <c r="A21" s="17" t="s">
        <v>69</v>
      </c>
      <c r="B21">
        <v>2030</v>
      </c>
      <c r="C21" s="22" t="s">
        <v>34</v>
      </c>
      <c r="D21" s="21">
        <v>-1599</v>
      </c>
      <c r="E21" s="9" t="s">
        <v>31</v>
      </c>
    </row>
    <row r="22" spans="1:5" x14ac:dyDescent="0.2">
      <c r="A22" s="17" t="s">
        <v>59</v>
      </c>
      <c r="B22">
        <v>2030</v>
      </c>
      <c r="C22" s="22" t="s">
        <v>34</v>
      </c>
      <c r="D22" s="20">
        <v>-1838.85</v>
      </c>
      <c r="E22" s="9" t="s">
        <v>31</v>
      </c>
    </row>
    <row r="23" spans="1:5" x14ac:dyDescent="0.2">
      <c r="A23" s="16" t="s">
        <v>59</v>
      </c>
      <c r="B23">
        <v>2030</v>
      </c>
      <c r="C23" s="22" t="s">
        <v>52</v>
      </c>
      <c r="D23" s="20">
        <v>341.90000000000003</v>
      </c>
      <c r="E23" s="9" t="s">
        <v>31</v>
      </c>
    </row>
    <row r="24" spans="1:5" x14ac:dyDescent="0.2">
      <c r="A24" s="17" t="s">
        <v>69</v>
      </c>
      <c r="B24">
        <v>2030</v>
      </c>
      <c r="C24" s="22" t="s">
        <v>52</v>
      </c>
      <c r="D24" s="20">
        <v>263</v>
      </c>
      <c r="E24" s="9" t="s">
        <v>31</v>
      </c>
    </row>
    <row r="25" spans="1:5" x14ac:dyDescent="0.2">
      <c r="A25" s="17" t="s">
        <v>58</v>
      </c>
      <c r="B25">
        <v>2030</v>
      </c>
      <c r="C25" s="22" t="s">
        <v>52</v>
      </c>
      <c r="D25" s="20">
        <v>184.1</v>
      </c>
      <c r="E25" s="9" t="s">
        <v>31</v>
      </c>
    </row>
    <row r="26" spans="1:5" x14ac:dyDescent="0.2">
      <c r="A26" s="16" t="s">
        <v>59</v>
      </c>
      <c r="B26">
        <v>2035</v>
      </c>
      <c r="C26" s="22" t="s">
        <v>35</v>
      </c>
      <c r="D26" s="20">
        <v>2468.7000000000003</v>
      </c>
      <c r="E26" s="9" t="s">
        <v>31</v>
      </c>
    </row>
    <row r="27" spans="1:5" x14ac:dyDescent="0.2">
      <c r="A27" s="17" t="s">
        <v>69</v>
      </c>
      <c r="B27">
        <v>2035</v>
      </c>
      <c r="C27" s="22" t="s">
        <v>35</v>
      </c>
      <c r="D27" s="20">
        <v>1899</v>
      </c>
      <c r="E27" s="9" t="s">
        <v>31</v>
      </c>
    </row>
    <row r="28" spans="1:5" x14ac:dyDescent="0.2">
      <c r="A28" s="17" t="s">
        <v>58</v>
      </c>
      <c r="B28">
        <v>2035</v>
      </c>
      <c r="C28" s="22" t="s">
        <v>35</v>
      </c>
      <c r="D28" s="20">
        <v>1329.3</v>
      </c>
      <c r="E28" s="9" t="s">
        <v>31</v>
      </c>
    </row>
    <row r="29" spans="1:5" x14ac:dyDescent="0.2">
      <c r="A29" s="16" t="s">
        <v>59</v>
      </c>
      <c r="B29">
        <v>2035</v>
      </c>
      <c r="C29" s="22" t="s">
        <v>54</v>
      </c>
      <c r="D29" s="20">
        <v>909.07499999999993</v>
      </c>
      <c r="E29" s="9" t="s">
        <v>31</v>
      </c>
    </row>
    <row r="30" spans="1:5" x14ac:dyDescent="0.2">
      <c r="A30" s="17" t="s">
        <v>69</v>
      </c>
      <c r="B30">
        <v>2035</v>
      </c>
      <c r="C30" s="22" t="s">
        <v>54</v>
      </c>
      <c r="D30" s="20">
        <v>790.5</v>
      </c>
      <c r="E30" s="9" t="s">
        <v>31</v>
      </c>
    </row>
    <row r="31" spans="1:5" x14ac:dyDescent="0.2">
      <c r="A31" s="17" t="s">
        <v>58</v>
      </c>
      <c r="B31">
        <v>2035</v>
      </c>
      <c r="C31" s="22" t="s">
        <v>54</v>
      </c>
      <c r="D31" s="20">
        <v>671.92499999999995</v>
      </c>
      <c r="E31" s="9" t="s">
        <v>31</v>
      </c>
    </row>
    <row r="32" spans="1:5" x14ac:dyDescent="0.2">
      <c r="A32" s="16" t="s">
        <v>58</v>
      </c>
      <c r="B32">
        <v>2035</v>
      </c>
      <c r="C32" s="22" t="s">
        <v>34</v>
      </c>
      <c r="D32" s="20">
        <v>-1524.05</v>
      </c>
      <c r="E32" s="9" t="s">
        <v>31</v>
      </c>
    </row>
    <row r="33" spans="1:5" x14ac:dyDescent="0.2">
      <c r="A33" s="17" t="s">
        <v>69</v>
      </c>
      <c r="B33">
        <v>2035</v>
      </c>
      <c r="C33" s="22" t="s">
        <v>34</v>
      </c>
      <c r="D33" s="20">
        <v>-1793</v>
      </c>
      <c r="E33" s="9" t="s">
        <v>31</v>
      </c>
    </row>
    <row r="34" spans="1:5" x14ac:dyDescent="0.2">
      <c r="A34" s="17" t="s">
        <v>59</v>
      </c>
      <c r="B34">
        <v>2035</v>
      </c>
      <c r="C34" s="22" t="s">
        <v>34</v>
      </c>
      <c r="D34" s="20">
        <v>-2061.9499999999998</v>
      </c>
      <c r="E34" s="9" t="s">
        <v>31</v>
      </c>
    </row>
    <row r="35" spans="1:5" x14ac:dyDescent="0.2">
      <c r="A35" s="16" t="s">
        <v>59</v>
      </c>
      <c r="B35">
        <v>2035</v>
      </c>
      <c r="C35" s="22" t="s">
        <v>52</v>
      </c>
      <c r="D35" s="20">
        <v>372.45000000000005</v>
      </c>
      <c r="E35" s="9" t="s">
        <v>31</v>
      </c>
    </row>
    <row r="36" spans="1:5" x14ac:dyDescent="0.2">
      <c r="A36" s="17" t="s">
        <v>69</v>
      </c>
      <c r="B36">
        <v>2035</v>
      </c>
      <c r="C36" s="22" t="s">
        <v>52</v>
      </c>
      <c r="D36" s="20">
        <v>286.5</v>
      </c>
      <c r="E36" s="9" t="s">
        <v>31</v>
      </c>
    </row>
    <row r="37" spans="1:5" x14ac:dyDescent="0.2">
      <c r="A37" s="17" t="s">
        <v>58</v>
      </c>
      <c r="B37">
        <v>2035</v>
      </c>
      <c r="C37" s="22" t="s">
        <v>52</v>
      </c>
      <c r="D37" s="23">
        <v>200.55</v>
      </c>
      <c r="E37" s="9" t="s">
        <v>31</v>
      </c>
    </row>
    <row r="38" spans="1:5" x14ac:dyDescent="0.2">
      <c r="A38" s="16" t="s">
        <v>59</v>
      </c>
      <c r="B38">
        <v>2040</v>
      </c>
      <c r="C38" s="26" t="s">
        <v>35</v>
      </c>
      <c r="D38" s="20">
        <v>2676.7000000000003</v>
      </c>
      <c r="E38" s="9" t="s">
        <v>31</v>
      </c>
    </row>
    <row r="39" spans="1:5" x14ac:dyDescent="0.2">
      <c r="A39" s="17" t="s">
        <v>69</v>
      </c>
      <c r="B39">
        <v>2040</v>
      </c>
      <c r="C39" s="26" t="s">
        <v>35</v>
      </c>
      <c r="D39" s="20">
        <v>2059</v>
      </c>
      <c r="E39" s="9" t="s">
        <v>31</v>
      </c>
    </row>
    <row r="40" spans="1:5" x14ac:dyDescent="0.2">
      <c r="A40" s="17" t="s">
        <v>58</v>
      </c>
      <c r="B40">
        <v>2040</v>
      </c>
      <c r="C40" s="26" t="s">
        <v>35</v>
      </c>
      <c r="D40" s="20">
        <v>1441.3</v>
      </c>
      <c r="E40" s="9" t="s">
        <v>31</v>
      </c>
    </row>
    <row r="41" spans="1:5" x14ac:dyDescent="0.2">
      <c r="A41" s="16" t="s">
        <v>59</v>
      </c>
      <c r="B41">
        <v>2040</v>
      </c>
      <c r="C41" s="26" t="s">
        <v>54</v>
      </c>
      <c r="D41" s="20">
        <v>985.55</v>
      </c>
      <c r="E41" s="9" t="s">
        <v>31</v>
      </c>
    </row>
    <row r="42" spans="1:5" x14ac:dyDescent="0.2">
      <c r="A42" s="17" t="s">
        <v>69</v>
      </c>
      <c r="B42">
        <v>2040</v>
      </c>
      <c r="C42" s="26" t="s">
        <v>54</v>
      </c>
      <c r="D42" s="20">
        <v>857</v>
      </c>
      <c r="E42" s="9" t="s">
        <v>31</v>
      </c>
    </row>
    <row r="43" spans="1:5" x14ac:dyDescent="0.2">
      <c r="A43" s="17" t="s">
        <v>58</v>
      </c>
      <c r="B43">
        <v>2040</v>
      </c>
      <c r="C43" s="26" t="s">
        <v>54</v>
      </c>
      <c r="D43" s="20">
        <v>728.44999999999993</v>
      </c>
      <c r="E43" s="9" t="s">
        <v>31</v>
      </c>
    </row>
    <row r="44" spans="1:5" x14ac:dyDescent="0.2">
      <c r="A44" s="16" t="s">
        <v>58</v>
      </c>
      <c r="B44">
        <v>2040</v>
      </c>
      <c r="C44" s="26" t="s">
        <v>34</v>
      </c>
      <c r="D44" s="20">
        <v>-1688.95</v>
      </c>
      <c r="E44" s="9" t="s">
        <v>31</v>
      </c>
    </row>
    <row r="45" spans="1:5" x14ac:dyDescent="0.2">
      <c r="A45" s="17" t="s">
        <v>69</v>
      </c>
      <c r="B45">
        <v>2040</v>
      </c>
      <c r="C45" s="26" t="s">
        <v>34</v>
      </c>
      <c r="D45" s="21">
        <v>-1987</v>
      </c>
      <c r="E45" s="9" t="s">
        <v>31</v>
      </c>
    </row>
    <row r="46" spans="1:5" x14ac:dyDescent="0.2">
      <c r="A46" s="17" t="s">
        <v>59</v>
      </c>
      <c r="B46">
        <v>2040</v>
      </c>
      <c r="C46" s="26" t="s">
        <v>34</v>
      </c>
      <c r="D46" s="20">
        <v>-2285.0499999999997</v>
      </c>
      <c r="E46" s="9" t="s">
        <v>31</v>
      </c>
    </row>
    <row r="47" spans="1:5" x14ac:dyDescent="0.2">
      <c r="A47" s="16" t="s">
        <v>59</v>
      </c>
      <c r="B47">
        <v>2040</v>
      </c>
      <c r="C47" s="26" t="s">
        <v>52</v>
      </c>
      <c r="D47" s="20">
        <v>403</v>
      </c>
      <c r="E47" s="9" t="s">
        <v>31</v>
      </c>
    </row>
    <row r="48" spans="1:5" x14ac:dyDescent="0.2">
      <c r="A48" s="17" t="s">
        <v>69</v>
      </c>
      <c r="B48">
        <v>2040</v>
      </c>
      <c r="C48" s="26" t="s">
        <v>52</v>
      </c>
      <c r="D48" s="20">
        <v>310</v>
      </c>
      <c r="E48" s="9" t="s">
        <v>31</v>
      </c>
    </row>
    <row r="49" spans="1:5" x14ac:dyDescent="0.2">
      <c r="A49" s="17" t="s">
        <v>58</v>
      </c>
      <c r="B49">
        <v>2040</v>
      </c>
      <c r="C49" s="26" t="s">
        <v>52</v>
      </c>
      <c r="D49" s="20">
        <v>217</v>
      </c>
      <c r="E49" s="9" t="s">
        <v>31</v>
      </c>
    </row>
    <row r="50" spans="1:5" x14ac:dyDescent="0.2">
      <c r="A50" s="16" t="s">
        <v>59</v>
      </c>
      <c r="B50">
        <v>2045</v>
      </c>
      <c r="C50" s="26" t="s">
        <v>35</v>
      </c>
      <c r="D50" s="20">
        <v>2922.4</v>
      </c>
      <c r="E50" s="9" t="s">
        <v>31</v>
      </c>
    </row>
    <row r="51" spans="1:5" x14ac:dyDescent="0.2">
      <c r="A51" s="16" t="s">
        <v>69</v>
      </c>
      <c r="B51">
        <v>2045</v>
      </c>
      <c r="C51" s="26" t="s">
        <v>35</v>
      </c>
      <c r="D51" s="20">
        <v>2248</v>
      </c>
      <c r="E51" s="9" t="s">
        <v>31</v>
      </c>
    </row>
    <row r="52" spans="1:5" x14ac:dyDescent="0.2">
      <c r="A52" s="16" t="s">
        <v>58</v>
      </c>
      <c r="B52">
        <v>2045</v>
      </c>
      <c r="C52" s="26" t="s">
        <v>35</v>
      </c>
      <c r="D52" s="20">
        <v>1573.6</v>
      </c>
      <c r="E52" s="9" t="s">
        <v>31</v>
      </c>
    </row>
    <row r="53" spans="1:5" x14ac:dyDescent="0.2">
      <c r="A53" s="16" t="s">
        <v>59</v>
      </c>
      <c r="B53">
        <v>2045</v>
      </c>
      <c r="C53" s="26" t="s">
        <v>54</v>
      </c>
      <c r="D53" s="20">
        <v>1076.4000000000001</v>
      </c>
      <c r="E53" s="9" t="s">
        <v>31</v>
      </c>
    </row>
    <row r="54" spans="1:5" x14ac:dyDescent="0.2">
      <c r="A54" s="16" t="s">
        <v>69</v>
      </c>
      <c r="B54">
        <v>2045</v>
      </c>
      <c r="C54" s="26" t="s">
        <v>54</v>
      </c>
      <c r="D54" s="20">
        <v>936</v>
      </c>
      <c r="E54" s="9" t="s">
        <v>31</v>
      </c>
    </row>
    <row r="55" spans="1:5" x14ac:dyDescent="0.2">
      <c r="A55" s="16" t="s">
        <v>58</v>
      </c>
      <c r="B55">
        <v>2045</v>
      </c>
      <c r="C55" s="26" t="s">
        <v>54</v>
      </c>
      <c r="D55" s="23">
        <v>795.59999999999991</v>
      </c>
      <c r="E55" s="9" t="s">
        <v>31</v>
      </c>
    </row>
    <row r="56" spans="1:5" x14ac:dyDescent="0.2">
      <c r="A56" s="16" t="s">
        <v>58</v>
      </c>
      <c r="B56">
        <v>2045</v>
      </c>
      <c r="C56" s="27" t="s">
        <v>34</v>
      </c>
      <c r="D56" s="24">
        <v>-1812.625</v>
      </c>
      <c r="E56" s="9" t="s">
        <v>31</v>
      </c>
    </row>
    <row r="57" spans="1:5" x14ac:dyDescent="0.2">
      <c r="A57" s="16" t="s">
        <v>69</v>
      </c>
      <c r="B57">
        <v>2045</v>
      </c>
      <c r="C57" s="27" t="s">
        <v>34</v>
      </c>
      <c r="D57" s="24">
        <v>-2132.5</v>
      </c>
      <c r="E57" s="9" t="s">
        <v>31</v>
      </c>
    </row>
    <row r="58" spans="1:5" x14ac:dyDescent="0.2">
      <c r="A58" s="16" t="s">
        <v>59</v>
      </c>
      <c r="B58">
        <v>2045</v>
      </c>
      <c r="C58" s="27" t="s">
        <v>34</v>
      </c>
      <c r="D58" s="24">
        <v>-2452.375</v>
      </c>
      <c r="E58" s="9" t="s">
        <v>31</v>
      </c>
    </row>
    <row r="59" spans="1:5" x14ac:dyDescent="0.2">
      <c r="A59" s="16" t="s">
        <v>59</v>
      </c>
      <c r="B59">
        <v>2045</v>
      </c>
      <c r="C59" s="27" t="s">
        <v>52</v>
      </c>
      <c r="D59" s="24">
        <v>440.05</v>
      </c>
      <c r="E59" s="9" t="s">
        <v>31</v>
      </c>
    </row>
    <row r="60" spans="1:5" x14ac:dyDescent="0.2">
      <c r="A60" s="16" t="s">
        <v>69</v>
      </c>
      <c r="B60">
        <v>2045</v>
      </c>
      <c r="C60" s="27" t="s">
        <v>52</v>
      </c>
      <c r="D60" s="24">
        <v>338.5</v>
      </c>
      <c r="E60" s="9" t="s">
        <v>31</v>
      </c>
    </row>
    <row r="61" spans="1:5" x14ac:dyDescent="0.2">
      <c r="A61" s="16" t="s">
        <v>58</v>
      </c>
      <c r="B61">
        <v>2045</v>
      </c>
      <c r="C61" s="27" t="s">
        <v>52</v>
      </c>
      <c r="D61" s="24">
        <v>236.95</v>
      </c>
      <c r="E61" s="9" t="s">
        <v>31</v>
      </c>
    </row>
    <row r="62" spans="1:5" x14ac:dyDescent="0.2">
      <c r="A62" s="16" t="s">
        <v>59</v>
      </c>
      <c r="B62">
        <v>2050</v>
      </c>
      <c r="C62" s="27" t="s">
        <v>35</v>
      </c>
      <c r="D62" s="24">
        <v>3168.1</v>
      </c>
      <c r="E62" s="9" t="s">
        <v>31</v>
      </c>
    </row>
    <row r="63" spans="1:5" x14ac:dyDescent="0.2">
      <c r="A63" s="16" t="s">
        <v>69</v>
      </c>
      <c r="B63">
        <v>2050</v>
      </c>
      <c r="C63" s="27" t="s">
        <v>35</v>
      </c>
      <c r="D63" s="24">
        <v>2437</v>
      </c>
      <c r="E63" s="9" t="s">
        <v>31</v>
      </c>
    </row>
    <row r="64" spans="1:5" x14ac:dyDescent="0.2">
      <c r="A64" s="16" t="s">
        <v>58</v>
      </c>
      <c r="B64">
        <v>2050</v>
      </c>
      <c r="C64" s="27" t="s">
        <v>35</v>
      </c>
      <c r="D64" s="24">
        <v>1705.8999999999999</v>
      </c>
      <c r="E64" s="9" t="s">
        <v>31</v>
      </c>
    </row>
    <row r="65" spans="1:5" x14ac:dyDescent="0.2">
      <c r="A65" s="16" t="s">
        <v>59</v>
      </c>
      <c r="B65">
        <v>2050</v>
      </c>
      <c r="C65" s="27" t="s">
        <v>54</v>
      </c>
      <c r="D65" s="24">
        <v>1167.25</v>
      </c>
      <c r="E65" s="9" t="s">
        <v>31</v>
      </c>
    </row>
    <row r="66" spans="1:5" x14ac:dyDescent="0.2">
      <c r="A66" s="16" t="s">
        <v>69</v>
      </c>
      <c r="B66">
        <v>2050</v>
      </c>
      <c r="C66" s="27" t="s">
        <v>54</v>
      </c>
      <c r="D66" s="24">
        <v>1015</v>
      </c>
      <c r="E66" s="9" t="s">
        <v>31</v>
      </c>
    </row>
    <row r="67" spans="1:5" x14ac:dyDescent="0.2">
      <c r="A67" s="16" t="s">
        <v>58</v>
      </c>
      <c r="B67">
        <v>2050</v>
      </c>
      <c r="C67" s="27" t="s">
        <v>54</v>
      </c>
      <c r="D67" s="24">
        <v>862.75</v>
      </c>
      <c r="E67" s="9" t="s">
        <v>31</v>
      </c>
    </row>
    <row r="68" spans="1:5" x14ac:dyDescent="0.2">
      <c r="A68" s="16" t="s">
        <v>58</v>
      </c>
      <c r="B68">
        <v>2050</v>
      </c>
      <c r="C68" s="27" t="s">
        <v>34</v>
      </c>
      <c r="D68" s="24">
        <v>-1936.3</v>
      </c>
      <c r="E68" s="9" t="s">
        <v>31</v>
      </c>
    </row>
    <row r="69" spans="1:5" x14ac:dyDescent="0.2">
      <c r="A69" s="16" t="s">
        <v>69</v>
      </c>
      <c r="B69">
        <v>2050</v>
      </c>
      <c r="C69" s="27" t="s">
        <v>34</v>
      </c>
      <c r="D69" s="30">
        <v>-2278</v>
      </c>
      <c r="E69" s="9" t="s">
        <v>31</v>
      </c>
    </row>
    <row r="70" spans="1:5" x14ac:dyDescent="0.2">
      <c r="A70" s="16" t="s">
        <v>59</v>
      </c>
      <c r="B70">
        <v>2050</v>
      </c>
      <c r="C70" s="27" t="s">
        <v>34</v>
      </c>
      <c r="D70" s="24">
        <v>-2619.6999999999998</v>
      </c>
      <c r="E70" s="9" t="s">
        <v>31</v>
      </c>
    </row>
    <row r="71" spans="1:5" x14ac:dyDescent="0.2">
      <c r="A71" s="16" t="s">
        <v>59</v>
      </c>
      <c r="B71">
        <v>2050</v>
      </c>
      <c r="C71" s="27" t="s">
        <v>52</v>
      </c>
      <c r="D71" s="24">
        <v>477.1</v>
      </c>
      <c r="E71" s="9" t="s">
        <v>31</v>
      </c>
    </row>
    <row r="72" spans="1:5" x14ac:dyDescent="0.2">
      <c r="A72" s="16" t="s">
        <v>69</v>
      </c>
      <c r="B72">
        <v>2050</v>
      </c>
      <c r="C72" s="27" t="s">
        <v>52</v>
      </c>
      <c r="D72" s="24">
        <v>367</v>
      </c>
      <c r="E72" s="9" t="s">
        <v>31</v>
      </c>
    </row>
    <row r="73" spans="1:5" x14ac:dyDescent="0.2">
      <c r="A73" s="16" t="s">
        <v>58</v>
      </c>
      <c r="B73">
        <v>2050</v>
      </c>
      <c r="C73" s="27" t="s">
        <v>52</v>
      </c>
      <c r="D73" s="25">
        <v>256.89999999999998</v>
      </c>
      <c r="E73" s="9" t="s">
        <v>31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81AE64E-7D8E-0E4C-9CF3-32CDB5D07DD5}">
          <x14:formula1>
            <xm:f>EmissionFactors!$A$2:$A$6</xm:f>
          </x14:formula1>
          <xm:sqref>C2:C73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N19"/>
  <sheetViews>
    <sheetView workbookViewId="0">
      <selection activeCell="L26" sqref="L26"/>
    </sheetView>
  </sheetViews>
  <sheetFormatPr baseColWidth="10" defaultColWidth="8.83203125" defaultRowHeight="15" x14ac:dyDescent="0.2"/>
  <cols>
    <col min="1" max="1" width="7.83203125" style="4" bestFit="1" customWidth="1"/>
    <col min="2" max="2" width="7.83203125" style="4" customWidth="1"/>
    <col min="3" max="3" width="13.1640625" bestFit="1" customWidth="1"/>
    <col min="4" max="4" width="6.6640625" style="4" bestFit="1" customWidth="1"/>
    <col min="5" max="5" width="8.33203125" style="4" bestFit="1" customWidth="1"/>
    <col min="6" max="7" width="15.83203125" style="4" bestFit="1" customWidth="1"/>
  </cols>
  <sheetData>
    <row r="1" spans="1:14" ht="18.75" customHeight="1" x14ac:dyDescent="0.2">
      <c r="A1" t="s">
        <v>41</v>
      </c>
      <c r="B1" s="7" t="s">
        <v>64</v>
      </c>
      <c r="C1" s="6" t="s">
        <v>2</v>
      </c>
      <c r="D1" s="3" t="s">
        <v>67</v>
      </c>
      <c r="E1" s="7" t="s">
        <v>30</v>
      </c>
      <c r="F1" s="7"/>
      <c r="G1" s="7"/>
      <c r="K1" s="7"/>
      <c r="L1" s="3"/>
      <c r="M1" s="3"/>
      <c r="N1" s="3"/>
    </row>
    <row r="2" spans="1:14" ht="18.75" customHeight="1" x14ac:dyDescent="0.2">
      <c r="A2" s="15">
        <v>2025</v>
      </c>
      <c r="B2" s="3" t="s">
        <v>61</v>
      </c>
      <c r="C2" t="s">
        <v>7</v>
      </c>
      <c r="D2" s="5">
        <v>1092</v>
      </c>
      <c r="E2" s="3" t="s">
        <v>68</v>
      </c>
      <c r="F2" s="3"/>
      <c r="G2" s="3"/>
    </row>
    <row r="3" spans="1:14" ht="18.75" customHeight="1" x14ac:dyDescent="0.2">
      <c r="A3" s="15">
        <v>2025</v>
      </c>
      <c r="B3" s="3" t="s">
        <v>62</v>
      </c>
      <c r="C3" t="s">
        <v>8</v>
      </c>
      <c r="D3" s="5">
        <v>1092</v>
      </c>
      <c r="E3" s="3" t="s">
        <v>68</v>
      </c>
      <c r="F3" s="3"/>
      <c r="G3" s="3"/>
    </row>
    <row r="4" spans="1:14" ht="18.75" customHeight="1" x14ac:dyDescent="0.2">
      <c r="A4" s="15">
        <v>2025</v>
      </c>
      <c r="B4" s="3" t="s">
        <v>60</v>
      </c>
      <c r="C4" t="s">
        <v>9</v>
      </c>
      <c r="D4" s="5">
        <v>1092</v>
      </c>
      <c r="E4" s="3" t="s">
        <v>68</v>
      </c>
      <c r="F4" s="3"/>
      <c r="G4" s="3"/>
      <c r="I4" s="7"/>
    </row>
    <row r="5" spans="1:14" x14ac:dyDescent="0.2">
      <c r="A5" s="15">
        <v>2030</v>
      </c>
      <c r="B5" s="3" t="s">
        <v>61</v>
      </c>
      <c r="C5" t="s">
        <v>7</v>
      </c>
      <c r="D5" s="5">
        <v>1201.2</v>
      </c>
      <c r="E5" s="3" t="s">
        <v>68</v>
      </c>
      <c r="I5" s="7"/>
    </row>
    <row r="6" spans="1:14" x14ac:dyDescent="0.2">
      <c r="A6" s="15">
        <v>2030</v>
      </c>
      <c r="B6" s="3" t="s">
        <v>62</v>
      </c>
      <c r="C6" t="s">
        <v>8</v>
      </c>
      <c r="D6" s="5">
        <v>1638</v>
      </c>
      <c r="E6" s="3" t="s">
        <v>68</v>
      </c>
      <c r="I6" s="7"/>
    </row>
    <row r="7" spans="1:14" x14ac:dyDescent="0.2">
      <c r="A7" s="15">
        <v>2030</v>
      </c>
      <c r="B7" s="3" t="s">
        <v>60</v>
      </c>
      <c r="C7" t="s">
        <v>9</v>
      </c>
      <c r="D7" s="5">
        <v>1092</v>
      </c>
      <c r="E7" s="3" t="s">
        <v>68</v>
      </c>
    </row>
    <row r="8" spans="1:14" x14ac:dyDescent="0.2">
      <c r="A8" s="15">
        <v>2035</v>
      </c>
      <c r="B8" s="3" t="s">
        <v>61</v>
      </c>
      <c r="C8" t="s">
        <v>7</v>
      </c>
      <c r="D8" s="5">
        <v>1283.0999999999999</v>
      </c>
      <c r="E8" s="3" t="s">
        <v>68</v>
      </c>
    </row>
    <row r="9" spans="1:14" x14ac:dyDescent="0.2">
      <c r="A9" s="15">
        <v>2035</v>
      </c>
      <c r="B9" s="3" t="s">
        <v>62</v>
      </c>
      <c r="C9" t="s">
        <v>8</v>
      </c>
      <c r="D9" s="5">
        <v>1911</v>
      </c>
      <c r="E9" s="3" t="s">
        <v>68</v>
      </c>
    </row>
    <row r="10" spans="1:14" x14ac:dyDescent="0.2">
      <c r="A10" s="15">
        <v>2035</v>
      </c>
      <c r="B10" s="3" t="s">
        <v>60</v>
      </c>
      <c r="C10" t="s">
        <v>9</v>
      </c>
      <c r="D10" s="5">
        <v>1528.8</v>
      </c>
      <c r="E10" s="3" t="s">
        <v>68</v>
      </c>
    </row>
    <row r="11" spans="1:14" x14ac:dyDescent="0.2">
      <c r="A11" s="15">
        <v>2040</v>
      </c>
      <c r="B11" s="3" t="s">
        <v>61</v>
      </c>
      <c r="C11" t="s">
        <v>7</v>
      </c>
      <c r="D11" s="5">
        <v>1365</v>
      </c>
      <c r="E11" s="3" t="s">
        <v>68</v>
      </c>
    </row>
    <row r="12" spans="1:14" x14ac:dyDescent="0.2">
      <c r="A12" s="15">
        <v>2040</v>
      </c>
      <c r="B12" s="3" t="s">
        <v>62</v>
      </c>
      <c r="C12" t="s">
        <v>8</v>
      </c>
      <c r="D12" s="5">
        <v>2184</v>
      </c>
      <c r="E12" s="3" t="s">
        <v>68</v>
      </c>
    </row>
    <row r="13" spans="1:14" x14ac:dyDescent="0.2">
      <c r="A13" s="15">
        <v>2040</v>
      </c>
      <c r="B13" s="3" t="s">
        <v>60</v>
      </c>
      <c r="C13" t="s">
        <v>9</v>
      </c>
      <c r="D13" s="5">
        <v>1965.6</v>
      </c>
      <c r="E13" s="3" t="s">
        <v>68</v>
      </c>
    </row>
    <row r="14" spans="1:14" x14ac:dyDescent="0.2">
      <c r="A14" s="15">
        <v>2045</v>
      </c>
      <c r="B14" s="3" t="s">
        <v>61</v>
      </c>
      <c r="C14" t="s">
        <v>7</v>
      </c>
      <c r="D14" s="5">
        <v>1446.9</v>
      </c>
      <c r="E14" s="3" t="s">
        <v>68</v>
      </c>
    </row>
    <row r="15" spans="1:14" x14ac:dyDescent="0.2">
      <c r="A15" s="15">
        <v>2045</v>
      </c>
      <c r="B15" s="3" t="s">
        <v>62</v>
      </c>
      <c r="C15" t="s">
        <v>8</v>
      </c>
      <c r="D15" s="5">
        <v>2457</v>
      </c>
      <c r="E15" s="3" t="s">
        <v>68</v>
      </c>
    </row>
    <row r="16" spans="1:14" x14ac:dyDescent="0.2">
      <c r="A16" s="15">
        <v>2045</v>
      </c>
      <c r="B16" s="3" t="s">
        <v>60</v>
      </c>
      <c r="C16" t="s">
        <v>9</v>
      </c>
      <c r="D16" s="5">
        <v>2347.8000000000002</v>
      </c>
      <c r="E16" s="3" t="s">
        <v>68</v>
      </c>
    </row>
    <row r="17" spans="1:5" x14ac:dyDescent="0.2">
      <c r="A17" s="15">
        <v>2050</v>
      </c>
      <c r="B17" s="3" t="s">
        <v>61</v>
      </c>
      <c r="C17" t="s">
        <v>7</v>
      </c>
      <c r="D17" s="5">
        <v>1528.8</v>
      </c>
      <c r="E17" s="3" t="s">
        <v>68</v>
      </c>
    </row>
    <row r="18" spans="1:5" x14ac:dyDescent="0.2">
      <c r="A18" s="15">
        <v>2050</v>
      </c>
      <c r="B18" s="3" t="s">
        <v>62</v>
      </c>
      <c r="C18" t="s">
        <v>8</v>
      </c>
      <c r="D18" s="5">
        <v>2730</v>
      </c>
      <c r="E18" s="3" t="s">
        <v>68</v>
      </c>
    </row>
    <row r="19" spans="1:5" x14ac:dyDescent="0.2">
      <c r="A19" s="15">
        <v>2050</v>
      </c>
      <c r="B19" s="3" t="s">
        <v>60</v>
      </c>
      <c r="C19" t="s">
        <v>9</v>
      </c>
      <c r="D19" s="5">
        <v>2730</v>
      </c>
      <c r="E19" s="3" t="s">
        <v>68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D4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13.5" bestFit="1" customWidth="1"/>
    <col min="2" max="4" width="13.5" style="1" bestFit="1" customWidth="1"/>
  </cols>
  <sheetData>
    <row r="1" spans="1:4" ht="18.75" customHeight="1" x14ac:dyDescent="0.2">
      <c r="A1" s="6" t="s">
        <v>57</v>
      </c>
      <c r="B1" t="s">
        <v>59</v>
      </c>
      <c r="C1" t="s">
        <v>69</v>
      </c>
      <c r="D1" t="s">
        <v>58</v>
      </c>
    </row>
    <row r="2" spans="1:4" ht="18.75" customHeight="1" x14ac:dyDescent="0.2">
      <c r="A2" t="s">
        <v>59</v>
      </c>
      <c r="B2" s="2">
        <v>0.6</v>
      </c>
      <c r="C2" s="2">
        <v>0.3</v>
      </c>
      <c r="D2" s="2">
        <v>0.1</v>
      </c>
    </row>
    <row r="3" spans="1:4" ht="18.75" customHeight="1" x14ac:dyDescent="0.2">
      <c r="A3" t="s">
        <v>69</v>
      </c>
      <c r="B3" s="2">
        <v>0.2</v>
      </c>
      <c r="C3" s="2">
        <v>0.6</v>
      </c>
      <c r="D3" s="2">
        <v>0.2</v>
      </c>
    </row>
    <row r="4" spans="1:4" ht="18.75" customHeight="1" x14ac:dyDescent="0.2">
      <c r="A4" t="s">
        <v>58</v>
      </c>
      <c r="B4" s="2">
        <v>0.1</v>
      </c>
      <c r="C4" s="2">
        <v>0.3</v>
      </c>
      <c r="D4" s="2">
        <v>0.6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D4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7.83203125" style="4" bestFit="1" customWidth="1"/>
    <col min="2" max="2" width="7.83203125" style="4" customWidth="1"/>
    <col min="3" max="3" width="13.5" bestFit="1" customWidth="1"/>
    <col min="4" max="4" width="10.1640625" style="1" bestFit="1" customWidth="1"/>
  </cols>
  <sheetData>
    <row r="1" spans="1:4" ht="18.75" customHeight="1" x14ac:dyDescent="0.2">
      <c r="A1" s="7" t="s">
        <v>6</v>
      </c>
      <c r="B1" s="7" t="s">
        <v>64</v>
      </c>
      <c r="C1" s="6" t="s">
        <v>2</v>
      </c>
      <c r="D1" s="8" t="s">
        <v>1</v>
      </c>
    </row>
    <row r="2" spans="1:4" ht="18.75" customHeight="1" x14ac:dyDescent="0.2">
      <c r="A2" s="3">
        <v>1</v>
      </c>
      <c r="B2" s="3" t="s">
        <v>61</v>
      </c>
      <c r="C2" t="s">
        <v>7</v>
      </c>
      <c r="D2" s="2">
        <v>0.3</v>
      </c>
    </row>
    <row r="3" spans="1:4" ht="18.75" customHeight="1" x14ac:dyDescent="0.2">
      <c r="A3" s="3">
        <v>2</v>
      </c>
      <c r="B3" s="3" t="s">
        <v>62</v>
      </c>
      <c r="C3" t="s">
        <v>8</v>
      </c>
      <c r="D3" s="2">
        <v>0.5</v>
      </c>
    </row>
    <row r="4" spans="1:4" ht="18.75" customHeight="1" x14ac:dyDescent="0.2">
      <c r="A4" s="3">
        <v>3</v>
      </c>
      <c r="B4" s="3" t="s">
        <v>60</v>
      </c>
      <c r="C4" t="s">
        <v>9</v>
      </c>
      <c r="D4" s="2">
        <v>0.2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C4"/>
  <sheetViews>
    <sheetView workbookViewId="0">
      <selection activeCell="B8" sqref="B8"/>
    </sheetView>
  </sheetViews>
  <sheetFormatPr baseColWidth="10" defaultColWidth="8.83203125" defaultRowHeight="15" x14ac:dyDescent="0.2"/>
  <cols>
    <col min="1" max="2" width="13.5" style="1" bestFit="1" customWidth="1"/>
    <col min="3" max="3" width="14.5" bestFit="1" customWidth="1"/>
  </cols>
  <sheetData>
    <row r="1" spans="1:3" ht="18.75" customHeight="1" x14ac:dyDescent="0.2">
      <c r="A1" s="8" t="s">
        <v>0</v>
      </c>
      <c r="B1" s="8" t="s">
        <v>1</v>
      </c>
      <c r="C1" s="6" t="s">
        <v>2</v>
      </c>
    </row>
    <row r="2" spans="1:3" ht="18.75" customHeight="1" x14ac:dyDescent="0.2">
      <c r="A2" s="2">
        <v>1.05</v>
      </c>
      <c r="B2" s="2">
        <v>0.3</v>
      </c>
      <c r="C2" t="s">
        <v>3</v>
      </c>
    </row>
    <row r="3" spans="1:3" ht="18.75" customHeight="1" x14ac:dyDescent="0.2">
      <c r="A3" s="3">
        <v>1</v>
      </c>
      <c r="B3" s="2">
        <v>0.5</v>
      </c>
      <c r="C3" t="s">
        <v>4</v>
      </c>
    </row>
    <row r="4" spans="1:3" ht="18.75" customHeight="1" x14ac:dyDescent="0.2">
      <c r="A4" s="2">
        <v>0.95</v>
      </c>
      <c r="B4" s="2">
        <v>0.2</v>
      </c>
      <c r="C4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ModelConfig</vt:lpstr>
      <vt:lpstr>ListPeriods</vt:lpstr>
      <vt:lpstr>ListPriceScenarios</vt:lpstr>
      <vt:lpstr>ListPolicyScenarios</vt:lpstr>
      <vt:lpstr>ListCarriers</vt:lpstr>
      <vt:lpstr>Technologies</vt:lpstr>
      <vt:lpstr>Storage</vt:lpstr>
      <vt:lpstr>EmissionFactors</vt:lpstr>
      <vt:lpstr>EmissionFactorElectricity</vt:lpstr>
      <vt:lpstr>EnergyPriceMap</vt:lpstr>
      <vt:lpstr>CarbonTrajectories</vt:lpstr>
      <vt:lpstr>PriceTransitions</vt:lpstr>
      <vt:lpstr>CarbonProbabilities</vt:lpstr>
      <vt:lpstr>DemandUncertainty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2025-10-22T13:14:42Z</dcterms:created>
  <dcterms:modified xsi:type="dcterms:W3CDTF">2025-10-31T17:11:56Z</dcterms:modified>
</cp:coreProperties>
</file>