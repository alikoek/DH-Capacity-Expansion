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tuwienacat-my.sharepoint.com/personal/ali_koek_tuwien_ac_at/Documents/Desktop/PhD/Capacity Expansion/Code/DH-Capacity-Expansion/data/"/>
    </mc:Choice>
  </mc:AlternateContent>
  <xr:revisionPtr revIDLastSave="702" documentId="11_C06996C0FE411BF93D0577E108B2978BCD23EF9B" xr6:coauthVersionLast="47" xr6:coauthVersionMax="47" xr10:uidLastSave="{8492A282-2652-4A4B-8698-DD329D580744}"/>
  <bookViews>
    <workbookView xWindow="25490" yWindow="-1230" windowWidth="25820" windowHeight="13900" activeTab="2" xr2:uid="{00000000-000D-0000-FFFF-FFFF00000000}"/>
  </bookViews>
  <sheets>
    <sheet name="ModelConfig" sheetId="1" r:id="rId1"/>
    <sheet name="Technologies" sheetId="2" r:id="rId2"/>
    <sheet name="CapacityLimits" sheetId="11" r:id="rId3"/>
    <sheet name="Storage" sheetId="3" r:id="rId4"/>
    <sheet name="EnergyCarriers" sheetId="4" r:id="rId5"/>
    <sheet name="Emission Factor for electricity" sheetId="10" r:id="rId6"/>
    <sheet name="EnergyPriceMap" sheetId="5" r:id="rId7"/>
    <sheet name="EnergyTransitions" sheetId="6" r:id="rId8"/>
    <sheet name="CarbonTrajectories" sheetId="7" r:id="rId9"/>
    <sheet name="CarbonProbabilities" sheetId="8" r:id="rId10"/>
    <sheet name="DemandUncertainty" sheetId="9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5" l="1"/>
  <c r="F13" i="5"/>
  <c r="E13" i="5"/>
  <c r="D13" i="5"/>
  <c r="G11" i="5"/>
  <c r="F11" i="5"/>
  <c r="E11" i="5"/>
  <c r="D11" i="5"/>
  <c r="G10" i="5"/>
  <c r="F10" i="5"/>
  <c r="E10" i="5"/>
  <c r="D10" i="5"/>
  <c r="G8" i="5"/>
  <c r="F8" i="5"/>
  <c r="E8" i="5"/>
  <c r="D8" i="5"/>
  <c r="G7" i="5"/>
  <c r="F7" i="5"/>
  <c r="E7" i="5"/>
  <c r="D7" i="5"/>
  <c r="G5" i="5"/>
  <c r="F5" i="5"/>
  <c r="E5" i="5"/>
  <c r="D5" i="5"/>
  <c r="G4" i="5"/>
  <c r="F4" i="5"/>
  <c r="E4" i="5"/>
  <c r="D4" i="5"/>
  <c r="G2" i="5"/>
  <c r="F2" i="5"/>
  <c r="E2" i="5"/>
  <c r="D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tc={98EB3A2A-984A-4989-8252-77BD7D530C82}</author>
    <author>tc={2B9DC85E-C269-467E-AAB3-45AA130E6B73}</author>
    <author>tc={B7D506CE-A6BB-470A-875D-9FA84DE22FB9}</author>
  </authors>
  <commentList>
    <comment ref="C2" authorId="0" shapeId="0" xr:uid="{98EB3A2A-984A-4989-8252-77BD7D530C82}">
      <text>
        <t>[Threaded comment]
Your version of Excel allows you to read this threaded comment; however, any edits to it will get removed if the file is opened in a newer version of Excel. Learn more: https://go.microsoft.com/fwlink/?linkid=870924
Comment:
    EUR values converted to SEK by multiplying by 10,92</t>
      </text>
    </comment>
    <comment ref="B3" authorId="1" shapeId="0" xr:uid="{2B9DC85E-C269-467E-AAB3-45AA130E6B7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</t>
      </text>
    </comment>
    <comment ref="B4" authorId="2" shapeId="0" xr:uid="{B7D506CE-A6BB-470A-875D-9FA84DE22FB9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 increase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tc={B7A961C5-48B5-4AA2-95B3-ED7C27965AF4}</author>
  </authors>
  <commentList>
    <comment ref="A1" authorId="0" shapeId="0" xr:uid="{B7A961C5-48B5-4AA2-95B3-ED7C27965AF4}">
      <text>
        <t>[Threaded comment]
Your version of Excel allows you to read this threaded comment; however, any edits to it will get removed if the file is opened in a newer version of Excel. Learn more: https://go.microsoft.com/fwlink/?linkid=870924
Comment:
    Right now, we do not have any demand uncertainty in the model</t>
      </text>
    </comment>
  </commentList>
</comments>
</file>

<file path=xl/sharedStrings.xml><?xml version="1.0" encoding="utf-8"?>
<sst xmlns="http://schemas.openxmlformats.org/spreadsheetml/2006/main" count="131" uniqueCount="87">
  <si>
    <t>multiplier</t>
  </si>
  <si>
    <t>probability</t>
  </si>
  <si>
    <t>description</t>
  </si>
  <si>
    <t>High demand</t>
  </si>
  <si>
    <t>Normal demand</t>
  </si>
  <si>
    <t>Low demand</t>
  </si>
  <si>
    <t>scenario</t>
  </si>
  <si>
    <t>Current policy</t>
  </si>
  <si>
    <t>Net-zero path</t>
  </si>
  <si>
    <t>Delayed action</t>
  </si>
  <si>
    <t>from_state</t>
  </si>
  <si>
    <t>to_high</t>
  </si>
  <si>
    <t>to_medium</t>
  </si>
  <si>
    <t>to_low</t>
  </si>
  <si>
    <t>High</t>
  </si>
  <si>
    <t>Medium</t>
  </si>
  <si>
    <t>Low</t>
  </si>
  <si>
    <t>state</t>
  </si>
  <si>
    <t>carrier</t>
  </si>
  <si>
    <t>elec</t>
  </si>
  <si>
    <t>parameter</t>
  </si>
  <si>
    <t>value</t>
  </si>
  <si>
    <t>capacity_cost</t>
  </si>
  <si>
    <t>fixed_om</t>
  </si>
  <si>
    <t>variable_om</t>
  </si>
  <si>
    <t>efficiency</t>
  </si>
  <si>
    <t>loss_rate</t>
  </si>
  <si>
    <t>max_charge_rate</t>
  </si>
  <si>
    <t>max_discharge_rate</t>
  </si>
  <si>
    <t>lifetime</t>
  </si>
  <si>
    <t>max_capacity</t>
  </si>
  <si>
    <t>initial_capacity</t>
  </si>
  <si>
    <t>technology</t>
  </si>
  <si>
    <t>efficiency_th</t>
  </si>
  <si>
    <t>efficiency_el</t>
  </si>
  <si>
    <t>energy_carrier</t>
  </si>
  <si>
    <t>lifetime_new</t>
  </si>
  <si>
    <t>lifetime_initial</t>
  </si>
  <si>
    <t>T</t>
  </si>
  <si>
    <t>T_years</t>
  </si>
  <si>
    <t>discount_rate</t>
  </si>
  <si>
    <t>base_annual_demand</t>
  </si>
  <si>
    <t>salvage_fraction</t>
  </si>
  <si>
    <t>c_penalty</t>
  </si>
  <si>
    <t>elec_taxes_levies</t>
  </si>
  <si>
    <t>unit</t>
  </si>
  <si>
    <t>SEK/MWh</t>
  </si>
  <si>
    <t>Waste_CHP</t>
  </si>
  <si>
    <t>BioOil_Boiler</t>
  </si>
  <si>
    <t>waste</t>
  </si>
  <si>
    <t>bio_oil</t>
  </si>
  <si>
    <t>initial_capacity[MW_th]</t>
  </si>
  <si>
    <t>max_additional_capacity[MW_th]</t>
  </si>
  <si>
    <t>investment_cost[MSEK/MW_th]</t>
  </si>
  <si>
    <t>fixed_om[MSEK/MW_th]</t>
  </si>
  <si>
    <t>variable_om[SEK/MWh_th]</t>
  </si>
  <si>
    <t>emission_factor[tCO2/MWh]</t>
  </si>
  <si>
    <t>Year</t>
  </si>
  <si>
    <t>Emission Factor (tCO2/MWh)</t>
  </si>
  <si>
    <t>year</t>
  </si>
  <si>
    <t>year_1[SEK/tCO2]</t>
  </si>
  <si>
    <t>year_2[SEK/tCO2]</t>
  </si>
  <si>
    <t>year_3[SEK/tCO2]</t>
  </si>
  <si>
    <t>year_4[SEK/tCO2]</t>
  </si>
  <si>
    <t>years</t>
  </si>
  <si>
    <t>representative model years</t>
  </si>
  <si>
    <t>MWh_th</t>
  </si>
  <si>
    <t>SeaWater_HeatPump</t>
  </si>
  <si>
    <t>BioOil_CHP</t>
  </si>
  <si>
    <t>waste[SEK/MWh]</t>
  </si>
  <si>
    <t>bio_oil[SEK/MWh]</t>
  </si>
  <si>
    <t>wood_chips[SEK/MWh]</t>
  </si>
  <si>
    <t>bio_waste[SEK/MWh]</t>
  </si>
  <si>
    <t>Electric_Boiler</t>
  </si>
  <si>
    <t>BioPellet_CHP</t>
  </si>
  <si>
    <t>WoodChip_CHP</t>
  </si>
  <si>
    <t>WasteWater_HeatPump</t>
  </si>
  <si>
    <t>LowTempSources_HeatPump</t>
  </si>
  <si>
    <t>wood_chips</t>
  </si>
  <si>
    <t>DataCenter_HeatPump</t>
  </si>
  <si>
    <t>bio_waste</t>
  </si>
  <si>
    <t>use_stochastic_demand</t>
  </si>
  <si>
    <t>year_1[MW]</t>
  </si>
  <si>
    <t>year_2[MW]</t>
  </si>
  <si>
    <t>year_3[MW]</t>
  </si>
  <si>
    <t>year_4[MW]</t>
  </si>
  <si>
    <t>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</si>
</sst>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2" fillId="0" borderId="1"/>
  </cellStyleXfs>
  <cellXfs count="20">
    <xf numFmtId="0" fontId="0" fillId="0" borderId="0" xfId="0"/>
    <xf numFmtId="4" fontId="0" fillId="0" borderId="0" xfId="0" applyNumberFormat="1" applyAlignment="1">
      <alignment horizontal="right"/>
    </xf>
    <xf numFmtId="4" fontId="1" fillId="0" borderId="1" xfId="0" applyNumberFormat="1" applyFont="1" applyBorder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64" fontId="1" fillId="0" borderId="1" xfId="0" applyNumberFormat="1" applyFont="1" applyBorder="1" applyAlignment="1">
      <alignment horizontal="right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2" fillId="0" borderId="1" xfId="1" applyAlignment="1">
      <alignment horizontal="center" vertical="center"/>
    </xf>
    <xf numFmtId="0" fontId="2" fillId="0" borderId="1" xfId="1"/>
    <xf numFmtId="0" fontId="3" fillId="0" borderId="1" xfId="1" applyFont="1" applyAlignment="1">
      <alignment horizontal="center" vertical="center"/>
    </xf>
    <xf numFmtId="0" fontId="3" fillId="0" borderId="1" xfId="1" applyFont="1"/>
    <xf numFmtId="4" fontId="0" fillId="0" borderId="0" xfId="0" applyNumberFormat="1"/>
    <xf numFmtId="0" fontId="3" fillId="2" borderId="0" xfId="0" applyFont="1" applyFill="1"/>
    <xf numFmtId="0" fontId="0" fillId="2" borderId="0" xfId="0" applyFill="1"/>
    <xf numFmtId="3" fontId="1" fillId="2" borderId="1" xfId="0" applyNumberFormat="1" applyFont="1" applyFill="1" applyBorder="1" applyAlignment="1">
      <alignment horizontal="right"/>
    </xf>
    <xf numFmtId="3" fontId="0" fillId="2" borderId="0" xfId="0" applyNumberFormat="1" applyFill="1" applyAlignment="1">
      <alignment horizontal="right"/>
    </xf>
  </cellXfs>
  <cellStyles count="2">
    <cellStyle name="Normal" xfId="0" builtinId="0"/>
    <cellStyle name="Normal 2" xfId="1" xr:uid="{127FEE2A-CF76-4986-A4BC-3363233C8C7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ök, Ali" id="{225DE312-2597-4284-8E1A-4635D93CA1E7}" userId="S::ali.koek@tuwien.ac.at::cf6fa925-1299-4444-9ac8-ff6284848d5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" dT="2025-10-24T14:22:12.17" personId="{225DE312-2597-4284-8E1A-4635D93CA1E7}" id="{98EB3A2A-984A-4989-8252-77BD7D530C82}">
    <text>EUR values converted to SEK by multiplying by 10,92</text>
  </threadedComment>
  <threadedComment ref="B3" dT="2025-10-28T09:22:43.82" personId="{225DE312-2597-4284-8E1A-4635D93CA1E7}" id="{2B9DC85E-C269-467E-AAB3-45AA130E6B73}">
    <text>Increase</text>
  </threadedComment>
  <threadedComment ref="B4" dT="2025-10-28T09:22:51.08" personId="{225DE312-2597-4284-8E1A-4635D93CA1E7}" id="{B7D506CE-A6BB-470A-875D-9FA84DE22FB9}">
    <text>Late increase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11-03T14:17:25.97" personId="{225DE312-2597-4284-8E1A-4635D93CA1E7}" id="{B7A961C5-48B5-4AA2-95B3-ED7C27965AF4}">
    <text>Right now, we do not have any demand uncertainty in the model</text>
  </threadedComment>
</ThreadedComment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9"/>
  <sheetViews>
    <sheetView workbookViewId="0">
      <selection activeCell="H8" sqref="H8"/>
    </sheetView>
  </sheetViews>
  <sheetFormatPr defaultRowHeight="14.5" x14ac:dyDescent="0.35"/>
  <cols>
    <col min="1" max="1" width="21.08984375" bestFit="1" customWidth="1"/>
    <col min="2" max="2" width="9.08984375" style="4" bestFit="1" customWidth="1"/>
    <col min="3" max="3" width="23.453125" bestFit="1" customWidth="1"/>
  </cols>
  <sheetData>
    <row r="1" spans="1:3" ht="18.75" customHeight="1" x14ac:dyDescent="0.35">
      <c r="A1" s="6" t="s">
        <v>20</v>
      </c>
      <c r="B1" s="7" t="s">
        <v>21</v>
      </c>
      <c r="C1" s="6" t="s">
        <v>45</v>
      </c>
    </row>
    <row r="2" spans="1:3" ht="18.75" customHeight="1" x14ac:dyDescent="0.35">
      <c r="A2" t="s">
        <v>38</v>
      </c>
      <c r="B2" s="3">
        <v>4</v>
      </c>
      <c r="C2" t="s">
        <v>65</v>
      </c>
    </row>
    <row r="3" spans="1:3" ht="18.75" customHeight="1" x14ac:dyDescent="0.35">
      <c r="A3" t="s">
        <v>39</v>
      </c>
      <c r="B3" s="3">
        <v>10</v>
      </c>
      <c r="C3" t="s">
        <v>64</v>
      </c>
    </row>
    <row r="4" spans="1:3" ht="18.75" customHeight="1" x14ac:dyDescent="0.35">
      <c r="A4" t="s">
        <v>40</v>
      </c>
      <c r="B4" s="2">
        <v>0.04</v>
      </c>
    </row>
    <row r="5" spans="1:3" ht="18.75" customHeight="1" x14ac:dyDescent="0.35">
      <c r="A5" t="s">
        <v>41</v>
      </c>
      <c r="B5" s="3">
        <v>7901900</v>
      </c>
      <c r="C5" t="s">
        <v>66</v>
      </c>
    </row>
    <row r="6" spans="1:3" ht="18.75" customHeight="1" x14ac:dyDescent="0.35">
      <c r="A6" t="s">
        <v>42</v>
      </c>
      <c r="B6" s="5">
        <v>0.9</v>
      </c>
    </row>
    <row r="7" spans="1:3" ht="18.75" customHeight="1" x14ac:dyDescent="0.35">
      <c r="A7" t="s">
        <v>43</v>
      </c>
      <c r="B7" s="3">
        <v>10000</v>
      </c>
      <c r="C7" t="s">
        <v>46</v>
      </c>
    </row>
    <row r="8" spans="1:3" x14ac:dyDescent="0.35">
      <c r="A8" t="s">
        <v>44</v>
      </c>
      <c r="B8" s="4">
        <v>150</v>
      </c>
      <c r="C8" t="s">
        <v>46</v>
      </c>
    </row>
    <row r="9" spans="1:3" x14ac:dyDescent="0.35">
      <c r="A9" t="s">
        <v>81</v>
      </c>
      <c r="B9" s="4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K11"/>
  <sheetViews>
    <sheetView workbookViewId="0">
      <selection activeCell="C14" sqref="C14"/>
    </sheetView>
  </sheetViews>
  <sheetFormatPr defaultRowHeight="14.5" x14ac:dyDescent="0.35"/>
  <cols>
    <col min="1" max="1" width="25.453125" bestFit="1" customWidth="1"/>
    <col min="2" max="2" width="21.54296875" style="4" bestFit="1" customWidth="1"/>
    <col min="3" max="3" width="30.1796875" style="4" bestFit="1" customWidth="1"/>
    <col min="4" max="4" width="28.26953125" style="1" bestFit="1" customWidth="1"/>
    <col min="5" max="5" width="22.6328125" style="1" bestFit="1" customWidth="1"/>
    <col min="6" max="6" width="24.54296875" style="1" bestFit="1" customWidth="1"/>
    <col min="7" max="7" width="11.90625" style="4" bestFit="1" customWidth="1"/>
    <col min="8" max="8" width="11.54296875" style="1" bestFit="1" customWidth="1"/>
    <col min="9" max="9" width="13.1796875" bestFit="1" customWidth="1"/>
    <col min="10" max="10" width="11.90625" style="4" bestFit="1" customWidth="1"/>
    <col min="11" max="11" width="12.90625" style="4" bestFit="1" customWidth="1"/>
  </cols>
  <sheetData>
    <row r="1" spans="1:11" ht="18.75" customHeight="1" x14ac:dyDescent="0.35">
      <c r="A1" s="6" t="s">
        <v>32</v>
      </c>
      <c r="B1" s="7" t="s">
        <v>51</v>
      </c>
      <c r="C1" s="7" t="s">
        <v>52</v>
      </c>
      <c r="D1" s="8" t="s">
        <v>53</v>
      </c>
      <c r="E1" s="8" t="s">
        <v>54</v>
      </c>
      <c r="F1" s="8" t="s">
        <v>55</v>
      </c>
      <c r="G1" s="7" t="s">
        <v>33</v>
      </c>
      <c r="H1" s="8" t="s">
        <v>34</v>
      </c>
      <c r="I1" s="6" t="s">
        <v>35</v>
      </c>
      <c r="J1" s="7" t="s">
        <v>36</v>
      </c>
      <c r="K1" s="7" t="s">
        <v>37</v>
      </c>
    </row>
    <row r="2" spans="1:11" ht="18.75" customHeight="1" x14ac:dyDescent="0.35">
      <c r="A2" t="s">
        <v>47</v>
      </c>
      <c r="B2" s="3">
        <v>266</v>
      </c>
      <c r="C2" s="3">
        <v>500</v>
      </c>
      <c r="D2" s="15">
        <v>40.700000000000003</v>
      </c>
      <c r="E2" s="15">
        <v>2.2599999999999998</v>
      </c>
      <c r="F2" s="9">
        <v>2.23</v>
      </c>
      <c r="G2">
        <v>0.86</v>
      </c>
      <c r="H2" s="15">
        <v>0.26</v>
      </c>
      <c r="I2" t="s">
        <v>49</v>
      </c>
      <c r="J2" s="3">
        <v>3</v>
      </c>
      <c r="K2" s="3">
        <v>2</v>
      </c>
    </row>
    <row r="3" spans="1:11" x14ac:dyDescent="0.35">
      <c r="A3" t="s">
        <v>73</v>
      </c>
      <c r="B3" s="4">
        <v>430</v>
      </c>
      <c r="C3">
        <v>500</v>
      </c>
      <c r="D3" s="1">
        <v>1.38</v>
      </c>
      <c r="E3" s="1">
        <v>0.01</v>
      </c>
      <c r="F3" s="1">
        <v>1</v>
      </c>
      <c r="G3" s="4">
        <v>0.98</v>
      </c>
      <c r="H3" s="1">
        <v>0</v>
      </c>
      <c r="I3" t="s">
        <v>19</v>
      </c>
      <c r="J3" s="4">
        <v>2</v>
      </c>
      <c r="K3" s="4">
        <v>2</v>
      </c>
    </row>
    <row r="4" spans="1:11" ht="18.75" customHeight="1" x14ac:dyDescent="0.35">
      <c r="A4" t="s">
        <v>67</v>
      </c>
      <c r="B4" s="3">
        <v>320</v>
      </c>
      <c r="C4" s="3">
        <v>900</v>
      </c>
      <c r="D4" s="15">
        <v>7.4</v>
      </c>
      <c r="E4" s="15">
        <v>0.03</v>
      </c>
      <c r="F4" s="9">
        <v>0.5</v>
      </c>
      <c r="G4">
        <v>2.68</v>
      </c>
      <c r="H4" s="2">
        <v>0</v>
      </c>
      <c r="I4" t="s">
        <v>19</v>
      </c>
      <c r="J4" s="3">
        <v>2</v>
      </c>
      <c r="K4" s="3">
        <v>1</v>
      </c>
    </row>
    <row r="5" spans="1:11" ht="18.75" customHeight="1" x14ac:dyDescent="0.35">
      <c r="A5" t="s">
        <v>74</v>
      </c>
      <c r="B5" s="3">
        <v>185</v>
      </c>
      <c r="C5" s="3">
        <v>500</v>
      </c>
      <c r="D5" s="15">
        <v>81.400000000000006</v>
      </c>
      <c r="E5" s="15">
        <v>2.2599999999999998</v>
      </c>
      <c r="F5" s="9">
        <v>2.23</v>
      </c>
      <c r="G5">
        <v>0.7</v>
      </c>
      <c r="H5" s="2">
        <v>0.21</v>
      </c>
      <c r="I5" t="s">
        <v>80</v>
      </c>
      <c r="J5" s="3">
        <v>3</v>
      </c>
      <c r="K5" s="3">
        <v>1</v>
      </c>
    </row>
    <row r="6" spans="1:11" ht="18.75" customHeight="1" x14ac:dyDescent="0.35">
      <c r="A6" t="s">
        <v>75</v>
      </c>
      <c r="B6" s="3">
        <v>522</v>
      </c>
      <c r="C6" s="3">
        <v>900</v>
      </c>
      <c r="D6" s="15">
        <v>41.22</v>
      </c>
      <c r="E6" s="15">
        <v>2.2599999999999998</v>
      </c>
      <c r="F6" s="9">
        <v>2.23</v>
      </c>
      <c r="G6">
        <v>0.8</v>
      </c>
      <c r="H6" s="2">
        <v>0.27</v>
      </c>
      <c r="I6" t="s">
        <v>78</v>
      </c>
      <c r="J6" s="3">
        <v>3</v>
      </c>
      <c r="K6" s="3">
        <v>2</v>
      </c>
    </row>
    <row r="7" spans="1:11" ht="18.75" customHeight="1" x14ac:dyDescent="0.35">
      <c r="A7" t="s">
        <v>48</v>
      </c>
      <c r="B7" s="3">
        <v>1700</v>
      </c>
      <c r="C7" s="3">
        <v>2000</v>
      </c>
      <c r="D7" s="15">
        <v>3.44</v>
      </c>
      <c r="E7" s="15">
        <v>0.03</v>
      </c>
      <c r="F7" s="9">
        <v>2.5</v>
      </c>
      <c r="G7" s="2">
        <v>0.9</v>
      </c>
      <c r="H7" s="2">
        <v>0</v>
      </c>
      <c r="I7" t="s">
        <v>50</v>
      </c>
      <c r="J7" s="3">
        <v>3</v>
      </c>
      <c r="K7" s="3">
        <v>2</v>
      </c>
    </row>
    <row r="8" spans="1:11" ht="18.75" customHeight="1" x14ac:dyDescent="0.35">
      <c r="A8" t="s">
        <v>68</v>
      </c>
      <c r="B8" s="3">
        <v>275</v>
      </c>
      <c r="C8" s="3">
        <v>500</v>
      </c>
      <c r="D8" s="15">
        <v>22.58</v>
      </c>
      <c r="E8" s="15">
        <v>2.2599999999999998</v>
      </c>
      <c r="F8" s="9">
        <v>2.23</v>
      </c>
      <c r="G8" s="2">
        <v>0.8</v>
      </c>
      <c r="H8" s="2">
        <v>0.5</v>
      </c>
      <c r="I8" t="s">
        <v>50</v>
      </c>
      <c r="J8" s="3">
        <v>3</v>
      </c>
      <c r="K8" s="3">
        <v>1</v>
      </c>
    </row>
    <row r="9" spans="1:11" ht="18.75" customHeight="1" x14ac:dyDescent="0.35">
      <c r="A9" t="s">
        <v>79</v>
      </c>
      <c r="B9" s="3">
        <v>0</v>
      </c>
      <c r="C9" s="3">
        <v>365</v>
      </c>
      <c r="D9" s="15">
        <v>7.42</v>
      </c>
      <c r="E9" s="15">
        <v>0.02</v>
      </c>
      <c r="F9" s="9">
        <v>0.5</v>
      </c>
      <c r="G9" s="2">
        <v>3.2</v>
      </c>
      <c r="H9" s="2">
        <v>0</v>
      </c>
      <c r="I9" t="s">
        <v>19</v>
      </c>
      <c r="J9" s="3">
        <v>2</v>
      </c>
      <c r="K9" s="3">
        <v>0</v>
      </c>
    </row>
    <row r="10" spans="1:11" x14ac:dyDescent="0.35">
      <c r="A10" t="s">
        <v>76</v>
      </c>
      <c r="B10" s="4">
        <v>220</v>
      </c>
      <c r="C10" s="4">
        <v>250</v>
      </c>
      <c r="D10" s="1">
        <v>7.42</v>
      </c>
      <c r="E10" s="1">
        <v>0.03</v>
      </c>
      <c r="F10" s="1">
        <v>0.5</v>
      </c>
      <c r="G10" s="1">
        <v>2.8</v>
      </c>
      <c r="H10" s="1">
        <v>0</v>
      </c>
      <c r="I10" t="s">
        <v>19</v>
      </c>
      <c r="J10" s="4">
        <v>2</v>
      </c>
      <c r="K10" s="4">
        <v>1</v>
      </c>
    </row>
    <row r="11" spans="1:11" x14ac:dyDescent="0.35">
      <c r="A11" t="s">
        <v>77</v>
      </c>
      <c r="B11" s="4">
        <v>0</v>
      </c>
      <c r="C11" s="4">
        <v>95</v>
      </c>
      <c r="D11" s="1">
        <v>10.42</v>
      </c>
      <c r="E11" s="1">
        <v>0.03</v>
      </c>
      <c r="F11" s="1">
        <v>0.5</v>
      </c>
      <c r="G11" s="4">
        <v>2.7</v>
      </c>
      <c r="H11" s="1">
        <v>0</v>
      </c>
      <c r="I11" t="s">
        <v>19</v>
      </c>
      <c r="J11" s="4">
        <v>2</v>
      </c>
      <c r="K11" s="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0E20E-E4D8-9B45-9C94-E89B574F109C}">
  <dimension ref="A1:E12"/>
  <sheetViews>
    <sheetView tabSelected="1" workbookViewId="0">
      <selection activeCell="F3" sqref="F3"/>
    </sheetView>
  </sheetViews>
  <sheetFormatPr defaultColWidth="10.90625" defaultRowHeight="14.5" x14ac:dyDescent="0.35"/>
  <cols>
    <col min="1" max="1" width="25.453125" bestFit="1" customWidth="1"/>
    <col min="2" max="5" width="11.26953125" bestFit="1" customWidth="1"/>
  </cols>
  <sheetData>
    <row r="1" spans="1:5" x14ac:dyDescent="0.35">
      <c r="A1" t="s">
        <v>32</v>
      </c>
      <c r="B1" t="s">
        <v>82</v>
      </c>
      <c r="C1" t="s">
        <v>83</v>
      </c>
      <c r="D1" t="s">
        <v>84</v>
      </c>
      <c r="E1" t="s">
        <v>85</v>
      </c>
    </row>
    <row r="2" spans="1:5" x14ac:dyDescent="0.35">
      <c r="A2" t="s">
        <v>47</v>
      </c>
      <c r="B2">
        <v>-1</v>
      </c>
      <c r="C2">
        <v>500</v>
      </c>
      <c r="D2">
        <v>500</v>
      </c>
      <c r="E2">
        <v>500</v>
      </c>
    </row>
    <row r="3" spans="1:5" x14ac:dyDescent="0.35">
      <c r="A3" t="s">
        <v>73</v>
      </c>
      <c r="B3">
        <v>-1</v>
      </c>
      <c r="C3">
        <v>500</v>
      </c>
      <c r="D3">
        <v>400</v>
      </c>
      <c r="E3">
        <v>400</v>
      </c>
    </row>
    <row r="4" spans="1:5" x14ac:dyDescent="0.35">
      <c r="A4" t="s">
        <v>67</v>
      </c>
      <c r="B4">
        <v>-1</v>
      </c>
      <c r="C4">
        <v>900</v>
      </c>
      <c r="D4">
        <v>900</v>
      </c>
      <c r="E4">
        <v>900</v>
      </c>
    </row>
    <row r="5" spans="1:5" x14ac:dyDescent="0.35">
      <c r="A5" t="s">
        <v>74</v>
      </c>
      <c r="B5">
        <v>-1</v>
      </c>
      <c r="C5">
        <v>400</v>
      </c>
      <c r="D5">
        <v>400</v>
      </c>
      <c r="E5">
        <v>400</v>
      </c>
    </row>
    <row r="6" spans="1:5" x14ac:dyDescent="0.35">
      <c r="A6" t="s">
        <v>75</v>
      </c>
      <c r="B6">
        <v>-1</v>
      </c>
      <c r="C6">
        <v>900</v>
      </c>
      <c r="D6">
        <v>900</v>
      </c>
      <c r="E6">
        <v>900</v>
      </c>
    </row>
    <row r="7" spans="1:5" x14ac:dyDescent="0.35">
      <c r="A7" t="s">
        <v>48</v>
      </c>
      <c r="B7">
        <v>-1</v>
      </c>
      <c r="C7">
        <v>-1</v>
      </c>
      <c r="D7">
        <v>-1</v>
      </c>
      <c r="E7">
        <v>-1</v>
      </c>
    </row>
    <row r="8" spans="1:5" x14ac:dyDescent="0.35">
      <c r="A8" t="s">
        <v>68</v>
      </c>
      <c r="B8">
        <v>-1</v>
      </c>
      <c r="C8">
        <v>500</v>
      </c>
      <c r="D8">
        <v>500</v>
      </c>
      <c r="E8">
        <v>500</v>
      </c>
    </row>
    <row r="9" spans="1:5" x14ac:dyDescent="0.35">
      <c r="A9" t="s">
        <v>79</v>
      </c>
      <c r="B9">
        <v>-1</v>
      </c>
      <c r="C9">
        <v>365</v>
      </c>
      <c r="D9">
        <v>365</v>
      </c>
      <c r="E9">
        <v>365</v>
      </c>
    </row>
    <row r="10" spans="1:5" x14ac:dyDescent="0.35">
      <c r="A10" t="s">
        <v>76</v>
      </c>
      <c r="B10">
        <v>-1</v>
      </c>
      <c r="C10">
        <v>250</v>
      </c>
      <c r="D10">
        <v>250</v>
      </c>
      <c r="E10">
        <v>250</v>
      </c>
    </row>
    <row r="11" spans="1:5" x14ac:dyDescent="0.35">
      <c r="A11" t="s">
        <v>77</v>
      </c>
      <c r="B11">
        <v>-1</v>
      </c>
      <c r="C11">
        <v>95</v>
      </c>
      <c r="D11">
        <v>95</v>
      </c>
      <c r="E11">
        <v>95</v>
      </c>
    </row>
    <row r="12" spans="1:5" x14ac:dyDescent="0.35">
      <c r="A12" t="s">
        <v>86</v>
      </c>
      <c r="B12">
        <v>-1</v>
      </c>
      <c r="C12">
        <v>2000</v>
      </c>
      <c r="D12">
        <v>2000</v>
      </c>
      <c r="E12">
        <v>2000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B11"/>
  <sheetViews>
    <sheetView workbookViewId="0">
      <selection activeCell="B10" sqref="B10"/>
    </sheetView>
  </sheetViews>
  <sheetFormatPr defaultRowHeight="14.5" x14ac:dyDescent="0.35"/>
  <cols>
    <col min="1" max="1" width="17.6328125" bestFit="1" customWidth="1"/>
    <col min="2" max="2" width="13.54296875" style="4" bestFit="1" customWidth="1"/>
  </cols>
  <sheetData>
    <row r="1" spans="1:2" ht="18.75" customHeight="1" x14ac:dyDescent="0.35">
      <c r="A1" t="s">
        <v>20</v>
      </c>
      <c r="B1" s="4" t="s">
        <v>21</v>
      </c>
    </row>
    <row r="2" spans="1:2" ht="18.75" customHeight="1" x14ac:dyDescent="0.35">
      <c r="A2" t="s">
        <v>22</v>
      </c>
      <c r="B2" s="3">
        <v>400</v>
      </c>
    </row>
    <row r="3" spans="1:2" ht="18.75" customHeight="1" x14ac:dyDescent="0.35">
      <c r="A3" t="s">
        <v>23</v>
      </c>
      <c r="B3" s="2">
        <v>0</v>
      </c>
    </row>
    <row r="4" spans="1:2" ht="18.75" customHeight="1" x14ac:dyDescent="0.35">
      <c r="A4" t="s">
        <v>24</v>
      </c>
      <c r="B4" s="2">
        <v>0</v>
      </c>
    </row>
    <row r="5" spans="1:2" ht="18.75" customHeight="1" x14ac:dyDescent="0.35">
      <c r="A5" t="s">
        <v>25</v>
      </c>
      <c r="B5" s="2">
        <v>0.95</v>
      </c>
    </row>
    <row r="6" spans="1:2" ht="18.75" customHeight="1" x14ac:dyDescent="0.35">
      <c r="A6" t="s">
        <v>26</v>
      </c>
      <c r="B6" s="2">
        <v>0.02</v>
      </c>
    </row>
    <row r="7" spans="1:2" ht="18.75" customHeight="1" x14ac:dyDescent="0.35">
      <c r="A7" t="s">
        <v>27</v>
      </c>
      <c r="B7" s="2">
        <v>0.25</v>
      </c>
    </row>
    <row r="8" spans="1:2" ht="18.75" customHeight="1" x14ac:dyDescent="0.35">
      <c r="A8" t="s">
        <v>28</v>
      </c>
      <c r="B8" s="2">
        <v>0.25</v>
      </c>
    </row>
    <row r="9" spans="1:2" ht="18.75" customHeight="1" x14ac:dyDescent="0.35">
      <c r="A9" t="s">
        <v>29</v>
      </c>
      <c r="B9" s="3">
        <v>3</v>
      </c>
    </row>
    <row r="10" spans="1:2" ht="18.75" customHeight="1" x14ac:dyDescent="0.35">
      <c r="A10" t="s">
        <v>30</v>
      </c>
      <c r="B10" s="3">
        <v>1000</v>
      </c>
    </row>
    <row r="11" spans="1:2" ht="18.75" customHeight="1" x14ac:dyDescent="0.35">
      <c r="A11" t="s">
        <v>31</v>
      </c>
      <c r="B11" s="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B6"/>
  <sheetViews>
    <sheetView workbookViewId="0">
      <selection activeCell="B2" sqref="B2"/>
    </sheetView>
  </sheetViews>
  <sheetFormatPr defaultRowHeight="14.5" x14ac:dyDescent="0.35"/>
  <cols>
    <col min="1" max="1" width="10.81640625" bestFit="1" customWidth="1"/>
    <col min="2" max="2" width="25.08984375" style="4" bestFit="1" customWidth="1"/>
  </cols>
  <sheetData>
    <row r="1" spans="1:2" ht="18.75" customHeight="1" x14ac:dyDescent="0.35">
      <c r="A1" s="6" t="s">
        <v>18</v>
      </c>
      <c r="B1" s="7" t="s">
        <v>56</v>
      </c>
    </row>
    <row r="2" spans="1:2" ht="18.75" customHeight="1" x14ac:dyDescent="0.35">
      <c r="A2" t="s">
        <v>49</v>
      </c>
      <c r="B2" s="10">
        <v>0.34735402116783071</v>
      </c>
    </row>
    <row r="3" spans="1:2" ht="18.75" customHeight="1" x14ac:dyDescent="0.35">
      <c r="A3" t="s">
        <v>50</v>
      </c>
      <c r="B3" s="3">
        <v>0</v>
      </c>
    </row>
    <row r="4" spans="1:2" ht="18.75" customHeight="1" x14ac:dyDescent="0.35">
      <c r="A4" t="s">
        <v>19</v>
      </c>
      <c r="B4" s="3"/>
    </row>
    <row r="5" spans="1:2" x14ac:dyDescent="0.35">
      <c r="A5" t="s">
        <v>80</v>
      </c>
      <c r="B5" s="4">
        <v>0</v>
      </c>
    </row>
    <row r="6" spans="1:2" x14ac:dyDescent="0.35">
      <c r="A6" t="s">
        <v>78</v>
      </c>
      <c r="B6" s="4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959A-48B5-4E78-9ABA-7625B4241542}">
  <dimension ref="A1:B29"/>
  <sheetViews>
    <sheetView workbookViewId="0">
      <selection activeCell="B8" sqref="B8"/>
    </sheetView>
  </sheetViews>
  <sheetFormatPr defaultColWidth="8.90625" defaultRowHeight="14.5" x14ac:dyDescent="0.35"/>
  <cols>
    <col min="1" max="1" width="5" style="12" bestFit="1" customWidth="1"/>
    <col min="2" max="2" width="25.90625" style="12" bestFit="1" customWidth="1"/>
    <col min="3" max="16384" width="8.90625" style="12"/>
  </cols>
  <sheetData>
    <row r="1" spans="1:2" x14ac:dyDescent="0.35">
      <c r="A1" s="13" t="s">
        <v>57</v>
      </c>
      <c r="B1" s="14" t="s">
        <v>58</v>
      </c>
    </row>
    <row r="2" spans="1:2" x14ac:dyDescent="0.35">
      <c r="A2" s="11">
        <v>2023</v>
      </c>
      <c r="B2" s="12">
        <v>4.4999999999999998E-2</v>
      </c>
    </row>
    <row r="3" spans="1:2" x14ac:dyDescent="0.35">
      <c r="A3" s="11">
        <v>2024</v>
      </c>
      <c r="B3" s="12">
        <v>3.5999999999999997E-2</v>
      </c>
    </row>
    <row r="4" spans="1:2" x14ac:dyDescent="0.35">
      <c r="A4" s="11">
        <v>2025</v>
      </c>
      <c r="B4" s="12">
        <v>2.8799999999999999E-2</v>
      </c>
    </row>
    <row r="5" spans="1:2" x14ac:dyDescent="0.35">
      <c r="A5" s="11">
        <v>2026</v>
      </c>
      <c r="B5" s="12">
        <v>2.3E-2</v>
      </c>
    </row>
    <row r="6" spans="1:2" x14ac:dyDescent="0.35">
      <c r="A6" s="11">
        <v>2027</v>
      </c>
      <c r="B6" s="12">
        <v>1.84E-2</v>
      </c>
    </row>
    <row r="7" spans="1:2" x14ac:dyDescent="0.35">
      <c r="A7" s="11">
        <v>2028</v>
      </c>
      <c r="B7" s="12">
        <v>1.47E-2</v>
      </c>
    </row>
    <row r="8" spans="1:2" x14ac:dyDescent="0.35">
      <c r="A8" s="11">
        <v>2029</v>
      </c>
      <c r="B8" s="12">
        <v>1.18E-2</v>
      </c>
    </row>
    <row r="9" spans="1:2" x14ac:dyDescent="0.35">
      <c r="A9" s="11">
        <v>2030</v>
      </c>
      <c r="B9" s="12">
        <v>9.4000000000000004E-3</v>
      </c>
    </row>
    <row r="10" spans="1:2" x14ac:dyDescent="0.35">
      <c r="A10" s="11">
        <v>2031</v>
      </c>
      <c r="B10" s="12">
        <v>7.4999999999999997E-3</v>
      </c>
    </row>
    <row r="11" spans="1:2" x14ac:dyDescent="0.35">
      <c r="A11" s="11">
        <v>2032</v>
      </c>
      <c r="B11" s="12">
        <v>5.3E-3</v>
      </c>
    </row>
    <row r="12" spans="1:2" x14ac:dyDescent="0.35">
      <c r="A12" s="11">
        <v>2033</v>
      </c>
      <c r="B12" s="12">
        <v>3.7000000000000002E-3</v>
      </c>
    </row>
    <row r="13" spans="1:2" x14ac:dyDescent="0.35">
      <c r="A13" s="11">
        <v>2034</v>
      </c>
      <c r="B13" s="12">
        <v>2.5999999999999999E-3</v>
      </c>
    </row>
    <row r="14" spans="1:2" x14ac:dyDescent="0.35">
      <c r="A14" s="11">
        <v>2035</v>
      </c>
      <c r="B14" s="12">
        <v>1.8E-3</v>
      </c>
    </row>
    <row r="15" spans="1:2" x14ac:dyDescent="0.35">
      <c r="A15" s="11">
        <v>2036</v>
      </c>
      <c r="B15" s="12">
        <v>1.2999999999999999E-3</v>
      </c>
    </row>
    <row r="16" spans="1:2" x14ac:dyDescent="0.35">
      <c r="A16" s="11">
        <v>2037</v>
      </c>
      <c r="B16" s="12">
        <v>8.0000000000000004E-4</v>
      </c>
    </row>
    <row r="17" spans="1:2" x14ac:dyDescent="0.35">
      <c r="A17" s="11">
        <v>2038</v>
      </c>
      <c r="B17" s="12">
        <v>5.0000000000000001E-4</v>
      </c>
    </row>
    <row r="18" spans="1:2" x14ac:dyDescent="0.35">
      <c r="A18" s="11">
        <v>2039</v>
      </c>
      <c r="B18" s="12">
        <v>2.0000000000000001E-4</v>
      </c>
    </row>
    <row r="19" spans="1:2" x14ac:dyDescent="0.35">
      <c r="A19" s="11">
        <v>2040</v>
      </c>
      <c r="B19" s="12">
        <v>1E-4</v>
      </c>
    </row>
    <row r="20" spans="1:2" x14ac:dyDescent="0.35">
      <c r="A20" s="11">
        <v>2041</v>
      </c>
      <c r="B20" s="12">
        <v>0</v>
      </c>
    </row>
    <row r="21" spans="1:2" x14ac:dyDescent="0.35">
      <c r="A21" s="11">
        <v>2042</v>
      </c>
      <c r="B21" s="12">
        <v>0</v>
      </c>
    </row>
    <row r="22" spans="1:2" x14ac:dyDescent="0.35">
      <c r="A22" s="11">
        <v>2043</v>
      </c>
      <c r="B22" s="12">
        <v>0</v>
      </c>
    </row>
    <row r="23" spans="1:2" x14ac:dyDescent="0.35">
      <c r="A23" s="11">
        <v>2044</v>
      </c>
      <c r="B23" s="12">
        <v>0</v>
      </c>
    </row>
    <row r="24" spans="1:2" x14ac:dyDescent="0.35">
      <c r="A24" s="11">
        <v>2045</v>
      </c>
      <c r="B24" s="12">
        <v>0</v>
      </c>
    </row>
    <row r="25" spans="1:2" x14ac:dyDescent="0.35">
      <c r="A25" s="11">
        <v>2046</v>
      </c>
      <c r="B25" s="12">
        <v>0</v>
      </c>
    </row>
    <row r="26" spans="1:2" x14ac:dyDescent="0.35">
      <c r="A26" s="11">
        <v>2047</v>
      </c>
      <c r="B26" s="12">
        <v>0</v>
      </c>
    </row>
    <row r="27" spans="1:2" x14ac:dyDescent="0.35">
      <c r="A27" s="11">
        <v>2048</v>
      </c>
      <c r="B27" s="12">
        <v>0</v>
      </c>
    </row>
    <row r="28" spans="1:2" x14ac:dyDescent="0.35">
      <c r="A28" s="11">
        <v>2049</v>
      </c>
      <c r="B28" s="12">
        <v>0</v>
      </c>
    </row>
    <row r="29" spans="1:2" x14ac:dyDescent="0.35">
      <c r="A29" s="11">
        <v>2050</v>
      </c>
      <c r="B29" s="1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13"/>
  <sheetViews>
    <sheetView workbookViewId="0">
      <selection activeCell="F38" sqref="F38"/>
    </sheetView>
  </sheetViews>
  <sheetFormatPr defaultRowHeight="14.5" x14ac:dyDescent="0.35"/>
  <cols>
    <col min="1" max="1" width="5.08984375" style="4" bestFit="1" customWidth="1"/>
    <col min="2" max="2" width="10.36328125" bestFit="1" customWidth="1"/>
    <col min="3" max="3" width="5" bestFit="1" customWidth="1"/>
    <col min="4" max="4" width="16" style="19" bestFit="1" customWidth="1"/>
    <col min="5" max="5" width="16.81640625" bestFit="1" customWidth="1"/>
    <col min="6" max="6" width="21.453125" bestFit="1" customWidth="1"/>
    <col min="7" max="7" width="19.81640625" bestFit="1" customWidth="1"/>
  </cols>
  <sheetData>
    <row r="1" spans="1:7" ht="18.75" customHeight="1" x14ac:dyDescent="0.35">
      <c r="A1" s="7" t="s">
        <v>17</v>
      </c>
      <c r="B1" s="6" t="s">
        <v>2</v>
      </c>
      <c r="C1" s="6" t="s">
        <v>59</v>
      </c>
      <c r="D1" s="16" t="s">
        <v>69</v>
      </c>
      <c r="E1" s="6" t="s">
        <v>70</v>
      </c>
      <c r="F1" s="6" t="s">
        <v>71</v>
      </c>
      <c r="G1" s="6" t="s">
        <v>72</v>
      </c>
    </row>
    <row r="2" spans="1:7" ht="18.75" customHeight="1" x14ac:dyDescent="0.35">
      <c r="A2" s="3">
        <v>1</v>
      </c>
      <c r="B2" t="s">
        <v>14</v>
      </c>
      <c r="C2">
        <v>2023</v>
      </c>
      <c r="D2" s="17">
        <f>D3*0.75</f>
        <v>-945</v>
      </c>
      <c r="E2">
        <f>E3*1.3</f>
        <v>2012.4</v>
      </c>
      <c r="F2">
        <f>F3*1.3</f>
        <v>304.2</v>
      </c>
      <c r="G2">
        <f>G3*1.3</f>
        <v>837.2</v>
      </c>
    </row>
    <row r="3" spans="1:7" ht="18.75" customHeight="1" x14ac:dyDescent="0.35">
      <c r="A3" s="3">
        <v>2</v>
      </c>
      <c r="B3" t="s">
        <v>15</v>
      </c>
      <c r="C3">
        <v>2023</v>
      </c>
      <c r="D3" s="18">
        <v>-1260</v>
      </c>
      <c r="E3">
        <v>1548</v>
      </c>
      <c r="F3">
        <v>234</v>
      </c>
      <c r="G3">
        <v>644</v>
      </c>
    </row>
    <row r="4" spans="1:7" ht="18.75" customHeight="1" x14ac:dyDescent="0.35">
      <c r="A4" s="3">
        <v>3</v>
      </c>
      <c r="B4" t="s">
        <v>16</v>
      </c>
      <c r="C4">
        <v>2023</v>
      </c>
      <c r="D4" s="17">
        <f>D3*1.15</f>
        <v>-1449</v>
      </c>
      <c r="E4">
        <f>E3*0.7</f>
        <v>1083.5999999999999</v>
      </c>
      <c r="F4">
        <f>F3*0.7</f>
        <v>163.79999999999998</v>
      </c>
      <c r="G4">
        <f>G3*0.7</f>
        <v>450.79999999999995</v>
      </c>
    </row>
    <row r="5" spans="1:7" x14ac:dyDescent="0.35">
      <c r="A5" s="3">
        <v>1</v>
      </c>
      <c r="B5" t="s">
        <v>14</v>
      </c>
      <c r="C5">
        <v>2030</v>
      </c>
      <c r="D5" s="17">
        <f>D6*0.75</f>
        <v>-1199.25</v>
      </c>
      <c r="E5">
        <f>E6*1.3</f>
        <v>2260.7000000000003</v>
      </c>
      <c r="F5">
        <f>F6*1.3</f>
        <v>341.90000000000003</v>
      </c>
      <c r="G5">
        <f>G6*1.3</f>
        <v>941.2</v>
      </c>
    </row>
    <row r="6" spans="1:7" x14ac:dyDescent="0.35">
      <c r="A6" s="3">
        <v>2</v>
      </c>
      <c r="B6" t="s">
        <v>15</v>
      </c>
      <c r="C6">
        <v>2030</v>
      </c>
      <c r="D6" s="18">
        <v>-1599</v>
      </c>
      <c r="E6">
        <v>1739</v>
      </c>
      <c r="F6">
        <v>263</v>
      </c>
      <c r="G6">
        <v>724</v>
      </c>
    </row>
    <row r="7" spans="1:7" x14ac:dyDescent="0.35">
      <c r="A7" s="3">
        <v>3</v>
      </c>
      <c r="B7" t="s">
        <v>16</v>
      </c>
      <c r="C7">
        <v>2030</v>
      </c>
      <c r="D7" s="17">
        <f>D6*1.15</f>
        <v>-1838.85</v>
      </c>
      <c r="E7">
        <f>E6*0.7</f>
        <v>1217.3</v>
      </c>
      <c r="F7">
        <f>F6*0.7</f>
        <v>184.1</v>
      </c>
      <c r="G7">
        <f>G6*0.7</f>
        <v>506.79999999999995</v>
      </c>
    </row>
    <row r="8" spans="1:7" x14ac:dyDescent="0.35">
      <c r="A8" s="3">
        <v>1</v>
      </c>
      <c r="B8" t="s">
        <v>14</v>
      </c>
      <c r="C8">
        <v>2040</v>
      </c>
      <c r="D8" s="17">
        <f>D9*0.75</f>
        <v>-1490.25</v>
      </c>
      <c r="E8">
        <f>E9*1.3</f>
        <v>2676.7000000000003</v>
      </c>
      <c r="F8">
        <f>F9*1.3</f>
        <v>403</v>
      </c>
      <c r="G8">
        <f>G9*1.3</f>
        <v>1114.1000000000001</v>
      </c>
    </row>
    <row r="9" spans="1:7" x14ac:dyDescent="0.35">
      <c r="A9" s="3">
        <v>2</v>
      </c>
      <c r="B9" t="s">
        <v>15</v>
      </c>
      <c r="C9">
        <v>2040</v>
      </c>
      <c r="D9" s="18">
        <v>-1987</v>
      </c>
      <c r="E9">
        <v>2059</v>
      </c>
      <c r="F9">
        <v>310</v>
      </c>
      <c r="G9">
        <v>857</v>
      </c>
    </row>
    <row r="10" spans="1:7" x14ac:dyDescent="0.35">
      <c r="A10" s="3">
        <v>3</v>
      </c>
      <c r="B10" t="s">
        <v>16</v>
      </c>
      <c r="C10">
        <v>2040</v>
      </c>
      <c r="D10" s="17">
        <f>D9*1.15</f>
        <v>-2285.0499999999997</v>
      </c>
      <c r="E10">
        <f>E9*0.7</f>
        <v>1441.3</v>
      </c>
      <c r="F10">
        <f>F9*0.7</f>
        <v>217</v>
      </c>
      <c r="G10">
        <f>G9*0.7</f>
        <v>599.9</v>
      </c>
    </row>
    <row r="11" spans="1:7" x14ac:dyDescent="0.35">
      <c r="A11" s="3">
        <v>1</v>
      </c>
      <c r="B11" t="s">
        <v>14</v>
      </c>
      <c r="C11">
        <v>2050</v>
      </c>
      <c r="D11" s="17">
        <f>D12*0.75</f>
        <v>-1708.5</v>
      </c>
      <c r="E11">
        <f>E12*1.3</f>
        <v>3168.1</v>
      </c>
      <c r="F11">
        <f>F12*1.3</f>
        <v>477.1</v>
      </c>
      <c r="G11">
        <f>G12*1.3</f>
        <v>1319.5</v>
      </c>
    </row>
    <row r="12" spans="1:7" x14ac:dyDescent="0.35">
      <c r="A12" s="3">
        <v>2</v>
      </c>
      <c r="B12" t="s">
        <v>15</v>
      </c>
      <c r="C12">
        <v>2050</v>
      </c>
      <c r="D12" s="18">
        <v>-2278</v>
      </c>
      <c r="E12">
        <v>2437</v>
      </c>
      <c r="F12">
        <v>367</v>
      </c>
      <c r="G12">
        <v>1015</v>
      </c>
    </row>
    <row r="13" spans="1:7" x14ac:dyDescent="0.35">
      <c r="A13" s="3">
        <v>3</v>
      </c>
      <c r="B13" t="s">
        <v>16</v>
      </c>
      <c r="C13">
        <v>2050</v>
      </c>
      <c r="D13" s="17">
        <f>D12*1.15</f>
        <v>-2619.6999999999998</v>
      </c>
      <c r="E13">
        <f>E12*0.7</f>
        <v>1705.8999999999999</v>
      </c>
      <c r="F13">
        <f>F12*0.7</f>
        <v>256.89999999999998</v>
      </c>
      <c r="G13">
        <f>G12*0.7</f>
        <v>710.5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D4"/>
  <sheetViews>
    <sheetView workbookViewId="0">
      <selection activeCell="A4" sqref="A4"/>
    </sheetView>
  </sheetViews>
  <sheetFormatPr defaultRowHeight="14.5" x14ac:dyDescent="0.35"/>
  <cols>
    <col min="1" max="1" width="13.54296875" bestFit="1" customWidth="1"/>
    <col min="2" max="4" width="13.54296875" style="1" bestFit="1" customWidth="1"/>
  </cols>
  <sheetData>
    <row r="1" spans="1:4" ht="18.75" customHeight="1" x14ac:dyDescent="0.35">
      <c r="A1" s="6" t="s">
        <v>10</v>
      </c>
      <c r="B1" s="8" t="s">
        <v>11</v>
      </c>
      <c r="C1" s="8" t="s">
        <v>12</v>
      </c>
      <c r="D1" s="8" t="s">
        <v>13</v>
      </c>
    </row>
    <row r="2" spans="1:4" ht="18.75" customHeight="1" x14ac:dyDescent="0.35">
      <c r="A2" t="s">
        <v>14</v>
      </c>
      <c r="B2" s="2">
        <v>0.6</v>
      </c>
      <c r="C2" s="2">
        <v>0.3</v>
      </c>
      <c r="D2" s="2">
        <v>0.1</v>
      </c>
    </row>
    <row r="3" spans="1:4" ht="18.75" customHeight="1" x14ac:dyDescent="0.35">
      <c r="A3" t="s">
        <v>15</v>
      </c>
      <c r="B3" s="2">
        <v>0.2</v>
      </c>
      <c r="C3" s="2">
        <v>0.6</v>
      </c>
      <c r="D3" s="2">
        <v>0.2</v>
      </c>
    </row>
    <row r="4" spans="1:4" ht="18.75" customHeight="1" x14ac:dyDescent="0.35">
      <c r="A4" t="s">
        <v>16</v>
      </c>
      <c r="B4" s="2">
        <v>0.1</v>
      </c>
      <c r="C4" s="2">
        <v>0.3</v>
      </c>
      <c r="D4" s="2">
        <v>0.6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F4"/>
  <sheetViews>
    <sheetView workbookViewId="0">
      <selection activeCell="B4" sqref="B4"/>
    </sheetView>
  </sheetViews>
  <sheetFormatPr defaultRowHeight="14.5" x14ac:dyDescent="0.35"/>
  <cols>
    <col min="1" max="1" width="7.90625" style="4" bestFit="1" customWidth="1"/>
    <col min="2" max="2" width="13.1796875" bestFit="1" customWidth="1"/>
    <col min="3" max="6" width="15.81640625" style="4" bestFit="1" customWidth="1"/>
  </cols>
  <sheetData>
    <row r="1" spans="1:6" ht="18.75" customHeight="1" x14ac:dyDescent="0.35">
      <c r="A1" s="7" t="s">
        <v>6</v>
      </c>
      <c r="B1" s="6" t="s">
        <v>2</v>
      </c>
      <c r="C1" s="7" t="s">
        <v>60</v>
      </c>
      <c r="D1" s="7" t="s">
        <v>61</v>
      </c>
      <c r="E1" s="7" t="s">
        <v>62</v>
      </c>
      <c r="F1" s="7" t="s">
        <v>63</v>
      </c>
    </row>
    <row r="2" spans="1:6" ht="18.75" customHeight="1" x14ac:dyDescent="0.35">
      <c r="A2" s="3">
        <v>1</v>
      </c>
      <c r="B2" t="s">
        <v>7</v>
      </c>
      <c r="C2" s="3">
        <v>1092</v>
      </c>
      <c r="D2" s="3">
        <v>1201.2</v>
      </c>
      <c r="E2" s="3">
        <v>1365</v>
      </c>
      <c r="F2" s="3">
        <v>1528.8</v>
      </c>
    </row>
    <row r="3" spans="1:6" ht="18.75" customHeight="1" x14ac:dyDescent="0.35">
      <c r="A3" s="3">
        <v>2</v>
      </c>
      <c r="B3" t="s">
        <v>8</v>
      </c>
      <c r="C3" s="3">
        <v>1092</v>
      </c>
      <c r="D3" s="3">
        <v>1638</v>
      </c>
      <c r="E3" s="3">
        <v>2184</v>
      </c>
      <c r="F3" s="3">
        <v>2730</v>
      </c>
    </row>
    <row r="4" spans="1:6" ht="18.75" customHeight="1" x14ac:dyDescent="0.35">
      <c r="A4" s="3">
        <v>3</v>
      </c>
      <c r="B4" t="s">
        <v>9</v>
      </c>
      <c r="C4" s="3">
        <v>1092</v>
      </c>
      <c r="D4" s="3">
        <v>1092</v>
      </c>
      <c r="E4" s="3">
        <v>1965.6</v>
      </c>
      <c r="F4" s="3">
        <v>2730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C4"/>
  <sheetViews>
    <sheetView workbookViewId="0">
      <selection activeCell="E4" sqref="E4"/>
    </sheetView>
  </sheetViews>
  <sheetFormatPr defaultRowHeight="14.5" x14ac:dyDescent="0.35"/>
  <cols>
    <col min="1" max="1" width="7.90625" style="4" bestFit="1" customWidth="1"/>
    <col min="2" max="2" width="13.453125" bestFit="1" customWidth="1"/>
    <col min="3" max="3" width="10.08984375" style="1" bestFit="1" customWidth="1"/>
  </cols>
  <sheetData>
    <row r="1" spans="1:3" ht="18.75" customHeight="1" x14ac:dyDescent="0.35">
      <c r="A1" s="7" t="s">
        <v>6</v>
      </c>
      <c r="B1" s="6" t="s">
        <v>2</v>
      </c>
      <c r="C1" s="8" t="s">
        <v>1</v>
      </c>
    </row>
    <row r="2" spans="1:3" ht="18.75" customHeight="1" x14ac:dyDescent="0.35">
      <c r="A2" s="3">
        <v>1</v>
      </c>
      <c r="B2" t="s">
        <v>7</v>
      </c>
      <c r="C2" s="2">
        <v>0.3</v>
      </c>
    </row>
    <row r="3" spans="1:3" ht="18.75" customHeight="1" x14ac:dyDescent="0.35">
      <c r="A3" s="3">
        <v>2</v>
      </c>
      <c r="B3" t="s">
        <v>8</v>
      </c>
      <c r="C3" s="2">
        <v>0.5</v>
      </c>
    </row>
    <row r="4" spans="1:3" ht="18.75" customHeight="1" x14ac:dyDescent="0.35">
      <c r="A4" s="3">
        <v>3</v>
      </c>
      <c r="B4" t="s">
        <v>9</v>
      </c>
      <c r="C4" s="2">
        <v>0.2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C4"/>
  <sheetViews>
    <sheetView workbookViewId="0"/>
  </sheetViews>
  <sheetFormatPr defaultRowHeight="14.5" x14ac:dyDescent="0.35"/>
  <cols>
    <col min="1" max="2" width="13.54296875" style="1" bestFit="1" customWidth="1"/>
    <col min="3" max="3" width="14.453125" bestFit="1" customWidth="1"/>
  </cols>
  <sheetData>
    <row r="1" spans="1:3" ht="18.75" customHeight="1" x14ac:dyDescent="0.35">
      <c r="A1" s="8" t="s">
        <v>0</v>
      </c>
      <c r="B1" s="8" t="s">
        <v>1</v>
      </c>
      <c r="C1" s="6" t="s">
        <v>2</v>
      </c>
    </row>
    <row r="2" spans="1:3" ht="18.75" customHeight="1" x14ac:dyDescent="0.35">
      <c r="A2" s="2">
        <v>1.05</v>
      </c>
      <c r="B2" s="2">
        <v>0.3</v>
      </c>
      <c r="C2" t="s">
        <v>3</v>
      </c>
    </row>
    <row r="3" spans="1:3" ht="18.75" customHeight="1" x14ac:dyDescent="0.35">
      <c r="A3" s="3">
        <v>1</v>
      </c>
      <c r="B3" s="2">
        <v>0.5</v>
      </c>
      <c r="C3" t="s">
        <v>4</v>
      </c>
    </row>
    <row r="4" spans="1:3" ht="18.75" customHeight="1" x14ac:dyDescent="0.35">
      <c r="A4" s="2">
        <v>0.95</v>
      </c>
      <c r="B4" s="2">
        <v>0.2</v>
      </c>
      <c r="C4" t="s">
        <v>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ModelConfig</vt:lpstr>
      <vt:lpstr>Technologies</vt:lpstr>
      <vt:lpstr>CapacityLimits</vt:lpstr>
      <vt:lpstr>Storage</vt:lpstr>
      <vt:lpstr>EnergyCarriers</vt:lpstr>
      <vt:lpstr>Emission Factor for electricity</vt:lpstr>
      <vt:lpstr>EnergyPriceMap</vt:lpstr>
      <vt:lpstr>EnergyTransitions</vt:lpstr>
      <vt:lpstr>CarbonTrajectories</vt:lpstr>
      <vt:lpstr>CarbonProbabilities</vt:lpstr>
      <vt:lpstr>DemandUncertainty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Kök, Ali</cp:lastModifiedBy>
  <dcterms:created xsi:type="dcterms:W3CDTF">2025-10-22T13:14:42Z</dcterms:created>
  <dcterms:modified xsi:type="dcterms:W3CDTF">2025-11-03T16:35:29Z</dcterms:modified>
</cp:coreProperties>
</file>